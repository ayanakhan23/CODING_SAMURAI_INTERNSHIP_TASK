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c3ec398e65c73/Documents/"/>
    </mc:Choice>
  </mc:AlternateContent>
  <xr:revisionPtr revIDLastSave="0" documentId="8_{79B952E6-C5A1-4A6A-9106-6FC33837678E}" xr6:coauthVersionLast="47" xr6:coauthVersionMax="47" xr10:uidLastSave="{00000000-0000-0000-0000-000000000000}"/>
  <bookViews>
    <workbookView xWindow="-120" yWindow="-120" windowWidth="20730" windowHeight="11040" activeTab="1" xr2:uid="{C36DB646-BD69-460E-B75C-D3CDAEAFEEEF}"/>
  </bookViews>
  <sheets>
    <sheet name="Sheet2" sheetId="3" r:id="rId1"/>
    <sheet name="Online Sales Data" sheetId="2" r:id="rId2"/>
  </sheets>
  <definedNames>
    <definedName name="ExternalData_1" localSheetId="1" hidden="1">'Online Sales Data'!$A$1:$I$245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3" i="2" l="1" a="1"/>
  <c r="J243" i="2"/>
  <c r="J244" i="2" a="1"/>
  <c r="J244" i="2" s="1"/>
  <c r="J245" i="2" s="1" a="1"/>
  <c r="J245" i="2" s="1"/>
  <c r="J242" i="2" a="1"/>
  <c r="J242" i="2" s="1"/>
  <c r="L245" i="2"/>
  <c r="M245" i="2"/>
  <c r="L244" i="2"/>
  <c r="M244" i="2"/>
  <c r="L243" i="2"/>
  <c r="M243" i="2"/>
  <c r="L242" i="2"/>
  <c r="M24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M241" i="2" s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M2" i="2" l="1"/>
  <c r="M3" i="2"/>
  <c r="M6" i="2"/>
  <c r="M12" i="2"/>
  <c r="M15" i="2"/>
  <c r="M18" i="2"/>
  <c r="M21" i="2"/>
  <c r="M25" i="2"/>
  <c r="M171" i="2"/>
  <c r="M177" i="2"/>
  <c r="M184" i="2"/>
  <c r="M189" i="2"/>
  <c r="M193" i="2"/>
  <c r="M29" i="2"/>
  <c r="M36" i="2"/>
  <c r="M37" i="2"/>
  <c r="M152" i="2"/>
  <c r="M153" i="2"/>
  <c r="M154" i="2"/>
  <c r="M159" i="2"/>
  <c r="M161" i="2"/>
  <c r="M165" i="2"/>
  <c r="M166" i="2"/>
  <c r="M170" i="2"/>
  <c r="M178" i="2"/>
  <c r="M188" i="2"/>
  <c r="M9" i="2"/>
  <c r="M34" i="2"/>
  <c r="M182" i="2"/>
  <c r="M4" i="2"/>
  <c r="M24" i="2"/>
  <c r="M28" i="2"/>
  <c r="M35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6" i="2"/>
  <c r="M160" i="2"/>
  <c r="M164" i="2"/>
  <c r="M169" i="2"/>
  <c r="M174" i="2"/>
  <c r="M179" i="2"/>
  <c r="M183" i="2"/>
  <c r="M187" i="2"/>
  <c r="M192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5" i="2"/>
  <c r="M11" i="2"/>
  <c r="M13" i="2"/>
  <c r="M16" i="2"/>
  <c r="M19" i="2"/>
  <c r="M23" i="2"/>
  <c r="M26" i="2"/>
  <c r="M30" i="2"/>
  <c r="M33" i="2"/>
  <c r="M155" i="2"/>
  <c r="M157" i="2"/>
  <c r="M162" i="2"/>
  <c r="M168" i="2"/>
  <c r="M173" i="2"/>
  <c r="M175" i="2"/>
  <c r="M180" i="2"/>
  <c r="M185" i="2"/>
  <c r="M190" i="2"/>
  <c r="M7" i="2"/>
  <c r="M8" i="2"/>
  <c r="M10" i="2"/>
  <c r="M14" i="2"/>
  <c r="M17" i="2"/>
  <c r="M20" i="2"/>
  <c r="M22" i="2"/>
  <c r="M27" i="2"/>
  <c r="M31" i="2"/>
  <c r="M32" i="2"/>
  <c r="M158" i="2"/>
  <c r="M163" i="2"/>
  <c r="M167" i="2"/>
  <c r="M172" i="2"/>
  <c r="M176" i="2"/>
  <c r="M181" i="2"/>
  <c r="M186" i="2"/>
  <c r="M19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4ED82B-3F3E-49A6-BF37-EF96D11906D0}" keepAlive="1" name="Query - Online Sales Data" description="Connection to the 'Online Sales Data' query in the workbook." type="5" refreshedVersion="8" background="1" saveData="1">
    <dbPr connection="Provider=Microsoft.Mashup.OleDb.1;Data Source=$Workbook$;Location=&quot;Online Sales Data&quot;;Extended Properties=&quot;&quot;" command="SELECT * FROM [Online Sales 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<sst xmlns="http://schemas.openxmlformats.org/spreadsheetml/2006/main" count="976" uniqueCount="260">
  <si>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</si>
  <si>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</si>
  <si>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</si>
  <si>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</si>
  <si>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</si>
  <si>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</si>
  <si>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</si>
  <si>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</si>
  <si>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</si>
  <si>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</si>
  <si>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</si>
  <si>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</si>
  <si>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</si>
  <si>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</si>
  <si>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</si>
  <si>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</si>
  <si>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</si>
  <si>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</si>
  <si>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</si>
  <si>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</si>
  <si>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</si>
  <si>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</si>
  <si>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</si>
  <si>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</si>
  <si>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</si>
  <si>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</si>
  <si>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</si>
  <si>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</si>
  <si>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</si>
  <si>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</si>
  <si>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</si>
  <si>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</si>
  <si>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</si>
  <si>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</si>
  <si>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</si>
  <si>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</si>
  <si>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</si>
  <si>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</si>
  <si>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</si>
  <si>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</si>
  <si>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</si>
  <si>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</si>
  <si>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</si>
  <si>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</si>
  <si>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</si>
  <si>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</si>
  <si>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</si>
  <si>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</si>
  <si>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</si>
  <si>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</si>
  <si>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</si>
  <si>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</si>
  <si>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</si>
  <si>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</si>
  <si>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</si>
  <si>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</si>
  <si>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</si>
  <si>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</si>
  <si>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</si>
  <si>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</si>
  <si>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</si>
  <si>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</si>
  <si>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</si>
  <si>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</si>
  <si>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</si>
  <si>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</si>
  <si>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</si>
  <si>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</si>
  <si>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</si>
  <si>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</si>
  <si>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</si>
  <si>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</si>
  <si>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</si>
  <si>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</si>
  <si>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</si>
  <si>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</si>
  <si>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</si>
  <si>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</si>
  <si>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</si>
  <si>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</si>
  <si>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</si>
  <si>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</si>
  <si>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</si>
  <si>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</si>
  <si>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</si>
  <si>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</si>
  <si>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</si>
  <si>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</si>
  <si>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</si>
  <si>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</si>
  <si>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</si>
  <si>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</si>
  <si>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</si>
  <si>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</si>
  <si>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</si>
  <si>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</si>
  <si>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</si>
  <si>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</si>
  <si>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</si>
  <si>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</si>
  <si>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</si>
  <si>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</si>
  <si>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</si>
  <si>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</si>
  <si>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</si>
  <si>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</si>
  <si>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</si>
  <si>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</si>
  <si>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</si>
  <si>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</si>
  <si>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</si>
  <si>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</si>
  <si>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</si>
  <si>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</si>
  <si>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</si>
  <si>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</si>
  <si>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</si>
  <si>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</si>
  <si>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</si>
  <si>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</si>
  <si>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</si>
  <si>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</si>
  <si>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</si>
  <si>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</si>
  <si>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</si>
  <si>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</si>
  <si>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</si>
  <si>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</si>
  <si>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</si>
  <si>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</si>
  <si>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</si>
  <si>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</si>
  <si>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</si>
  <si>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</si>
  <si>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</si>
  <si>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</si>
  <si>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</si>
  <si>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</si>
  <si>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</si>
  <si>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</si>
  <si>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</si>
  <si>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</si>
  <si>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</si>
  <si>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</si>
  <si>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</si>
  <si>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</si>
  <si>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</si>
  <si>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</si>
  <si>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</si>
  <si>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</si>
  <si>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</si>
  <si>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</si>
  <si>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</si>
  <si>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</si>
  <si>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</si>
  <si>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</si>
  <si>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</si>
  <si>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</si>
  <si>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</si>
  <si>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</si>
  <si>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</si>
  <si>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</si>
  <si>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</si>
  <si>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</si>
  <si>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</si>
  <si>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</si>
  <si>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</si>
  <si>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</si>
  <si>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</si>
  <si>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</si>
  <si>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</si>
  <si>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</si>
  <si>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</si>
  <si>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</si>
  <si>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</si>
  <si>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</si>
  <si>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</si>
  <si>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</si>
  <si>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</si>
  <si>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</si>
  <si>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</si>
  <si>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</si>
  <si>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</si>
  <si>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</si>
  <si>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</si>
  <si>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</si>
  <si>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</si>
  <si>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</si>
  <si>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</si>
  <si>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</si>
  <si>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</si>
  <si>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</si>
  <si>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</si>
  <si>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</si>
  <si>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</si>
  <si>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</si>
  <si>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</si>
  <si>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</si>
  <si>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</si>
  <si>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</si>
  <si>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</si>
  <si>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</si>
  <si>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</si>
  <si>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</si>
  <si>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</si>
  <si>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</si>
  <si>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</si>
  <si>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</si>
  <si>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</si>
  <si>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</si>
  <si>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</si>
  <si>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</si>
  <si>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</si>
  <si>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</si>
  <si>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</si>
  <si>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</si>
  <si>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</si>
  <si>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</si>
  <si>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</si>
  <si>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</si>
  <si>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</si>
  <si>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</si>
  <si>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</si>
  <si>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</si>
  <si>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</si>
  <si>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</si>
  <si>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</si>
  <si>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</si>
  <si>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</si>
  <si>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</si>
  <si>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</si>
  <si>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</si>
  <si>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</si>
  <si>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</si>
  <si>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</si>
  <si>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</si>
  <si>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</si>
  <si>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</si>
  <si>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</si>
  <si>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</si>
  <si>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</si>
  <si>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</si>
  <si>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</si>
  <si>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</si>
  <si>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</si>
  <si>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</si>
  <si>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</si>
  <si>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</si>
  <si>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</si>
  <si>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</si>
  <si>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</si>
  <si>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</si>
  <si>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</si>
  <si>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Total Sales</t>
  </si>
  <si>
    <t>Month</t>
  </si>
  <si>
    <t>Year</t>
  </si>
  <si>
    <t>Row Labels</t>
  </si>
  <si>
    <t>Grand Total</t>
  </si>
  <si>
    <t>Sum of Total Sales</t>
  </si>
  <si>
    <t>Moving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</si>
</sst>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NumberFormat="1" applyFill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1" defaultTableStyle="TableStyleMedium2" defaultPivotStyle="PivotStyleLight16">
    <tableStyle name="Invisible" pivot="0" table="0" count="0" xr9:uid="{657736D8-4326-4C3D-BE67-238843A5ED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 Online Sales Data.xlsx]Sheet2!PivotTable1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Sheet2!$A$4:$A$13</c:f>
              <c:multiLvlStrCache>
                <c:ptCount val="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Sheet2!$B$4:$B$13</c:f>
              <c:numCache>
                <c:formatCode>General</c:formatCode>
                <c:ptCount val="8"/>
                <c:pt idx="0">
                  <c:v>14548.319999999991</c:v>
                </c:pt>
                <c:pt idx="1">
                  <c:v>10803.369999999999</c:v>
                </c:pt>
                <c:pt idx="2">
                  <c:v>12849.239999999996</c:v>
                </c:pt>
                <c:pt idx="3">
                  <c:v>12451.689999999995</c:v>
                </c:pt>
                <c:pt idx="4">
                  <c:v>8455.49</c:v>
                </c:pt>
                <c:pt idx="5">
                  <c:v>7384.5499999999984</c:v>
                </c:pt>
                <c:pt idx="6">
                  <c:v>6797.08</c:v>
                </c:pt>
                <c:pt idx="7">
                  <c:v>7278.1099999999988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F-4CB9-8BB5-58D4FE4DA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4759856"/>
        <c:axId val="1834760336"/>
      </c:lineChart>
      <c:catAx>
        <c:axId val="183475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760336"/>
        <c:crosses val="autoZero"/>
        <c:auto val="1"/>
        <c:lblAlgn val="ctr"/>
        <c:lblOffset val="100"/>
        <c:noMultiLvlLbl val="0"/>
      </c:catAx>
      <c:valAx>
        <c:axId val="1834760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75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Trend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1426071741033"/>
          <c:y val="0.15505796150481191"/>
          <c:w val="0.82888888888888879"/>
          <c:h val="0.56449803149606304"/>
        </c:manualLayout>
      </c:layout>
      <c:lineChart>
        <c:grouping val="standard"/>
        <c:varyColors val="0"/>
        <c:ser>
          <c:idx val="0"/>
          <c:order val="0"/>
          <c:tx>
            <c:strRef>
              <c:f>'Online Sales Data'!$J$1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2011592300962378E-2"/>
                  <c:y val="-0.326106736657917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'Online Sales Data'!$K$242:$K$245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numCache>
            </c:numRef>
          </c:cat>
          <c:val>
            <c:numRef>
              <c:f>'Online Sales Data'!$J$2:$J$241</c:f>
              <c:numCache>
                <c:formatCode>General</c:formatCode>
                <c:ptCount val="240"/>
                <c:pt idx="0">
                  <c:v>1999.98</c:v>
                </c:pt>
                <c:pt idx="1">
                  <c:v>499.99</c:v>
                </c:pt>
                <c:pt idx="2">
                  <c:v>209.96999999999997</c:v>
                </c:pt>
                <c:pt idx="3">
                  <c:v>63.96</c:v>
                </c:pt>
                <c:pt idx="4">
                  <c:v>89.99</c:v>
                </c:pt>
                <c:pt idx="5">
                  <c:v>149.94999999999999</c:v>
                </c:pt>
                <c:pt idx="6">
                  <c:v>2499.9899999999998</c:v>
                </c:pt>
                <c:pt idx="7">
                  <c:v>1199.98</c:v>
                </c:pt>
                <c:pt idx="8">
                  <c:v>539.93999999999994</c:v>
                </c:pt>
                <c:pt idx="9">
                  <c:v>51.98</c:v>
                </c:pt>
                <c:pt idx="10">
                  <c:v>129.99</c:v>
                </c:pt>
                <c:pt idx="11">
                  <c:v>599.97</c:v>
                </c:pt>
                <c:pt idx="12">
                  <c:v>1499.98</c:v>
                </c:pt>
                <c:pt idx="13">
                  <c:v>189.99</c:v>
                </c:pt>
                <c:pt idx="14">
                  <c:v>499.98</c:v>
                </c:pt>
                <c:pt idx="15">
                  <c:v>107.97</c:v>
                </c:pt>
                <c:pt idx="16">
                  <c:v>399.99</c:v>
                </c:pt>
                <c:pt idx="17">
                  <c:v>479.96</c:v>
                </c:pt>
                <c:pt idx="18">
                  <c:v>999.98</c:v>
                </c:pt>
                <c:pt idx="19">
                  <c:v>99.99</c:v>
                </c:pt>
                <c:pt idx="20">
                  <c:v>179.97</c:v>
                </c:pt>
                <c:pt idx="21">
                  <c:v>45.98</c:v>
                </c:pt>
                <c:pt idx="22">
                  <c:v>49.99</c:v>
                </c:pt>
                <c:pt idx="23">
                  <c:v>89.97</c:v>
                </c:pt>
                <c:pt idx="24">
                  <c:v>299.99</c:v>
                </c:pt>
                <c:pt idx="25">
                  <c:v>179.99</c:v>
                </c:pt>
                <c:pt idx="26">
                  <c:v>359.98</c:v>
                </c:pt>
                <c:pt idx="27">
                  <c:v>38.97</c:v>
                </c:pt>
                <c:pt idx="28">
                  <c:v>29.99</c:v>
                </c:pt>
                <c:pt idx="29">
                  <c:v>259.98</c:v>
                </c:pt>
                <c:pt idx="30">
                  <c:v>699.98</c:v>
                </c:pt>
                <c:pt idx="31">
                  <c:v>269.96999999999997</c:v>
                </c:pt>
                <c:pt idx="32">
                  <c:v>149.94999999999999</c:v>
                </c:pt>
                <c:pt idx="33">
                  <c:v>79.959999999999994</c:v>
                </c:pt>
                <c:pt idx="34">
                  <c:v>79.98</c:v>
                </c:pt>
                <c:pt idx="35">
                  <c:v>1895</c:v>
                </c:pt>
                <c:pt idx="36">
                  <c:v>1199.97</c:v>
                </c:pt>
                <c:pt idx="37">
                  <c:v>1599.98</c:v>
                </c:pt>
                <c:pt idx="38">
                  <c:v>239.96</c:v>
                </c:pt>
                <c:pt idx="39">
                  <c:v>74.97</c:v>
                </c:pt>
                <c:pt idx="40">
                  <c:v>105</c:v>
                </c:pt>
                <c:pt idx="41">
                  <c:v>259.98</c:v>
                </c:pt>
                <c:pt idx="42">
                  <c:v>1199.97</c:v>
                </c:pt>
                <c:pt idx="43">
                  <c:v>199.99</c:v>
                </c:pt>
                <c:pt idx="44">
                  <c:v>279.98</c:v>
                </c:pt>
                <c:pt idx="45">
                  <c:v>130</c:v>
                </c:pt>
                <c:pt idx="46">
                  <c:v>52</c:v>
                </c:pt>
                <c:pt idx="47">
                  <c:v>239.94</c:v>
                </c:pt>
                <c:pt idx="48">
                  <c:v>259.98</c:v>
                </c:pt>
                <c:pt idx="49">
                  <c:v>299.99</c:v>
                </c:pt>
                <c:pt idx="50">
                  <c:v>464.97</c:v>
                </c:pt>
                <c:pt idx="51">
                  <c:v>53.98</c:v>
                </c:pt>
                <c:pt idx="52">
                  <c:v>49</c:v>
                </c:pt>
                <c:pt idx="53">
                  <c:v>249.95000000000002</c:v>
                </c:pt>
                <c:pt idx="54">
                  <c:v>239.96</c:v>
                </c:pt>
                <c:pt idx="55">
                  <c:v>499.99</c:v>
                </c:pt>
                <c:pt idx="56">
                  <c:v>149.94999999999999</c:v>
                </c:pt>
                <c:pt idx="57">
                  <c:v>84</c:v>
                </c:pt>
                <c:pt idx="58">
                  <c:v>46</c:v>
                </c:pt>
                <c:pt idx="59">
                  <c:v>349</c:v>
                </c:pt>
                <c:pt idx="60">
                  <c:v>899.97</c:v>
                </c:pt>
                <c:pt idx="61">
                  <c:v>399.98</c:v>
                </c:pt>
                <c:pt idx="62">
                  <c:v>99.9</c:v>
                </c:pt>
                <c:pt idx="63">
                  <c:v>75.959999999999994</c:v>
                </c:pt>
                <c:pt idx="64">
                  <c:v>102</c:v>
                </c:pt>
                <c:pt idx="65">
                  <c:v>599.98</c:v>
                </c:pt>
                <c:pt idx="66">
                  <c:v>1199.99</c:v>
                </c:pt>
                <c:pt idx="67">
                  <c:v>659.97</c:v>
                </c:pt>
                <c:pt idx="68">
                  <c:v>239.96</c:v>
                </c:pt>
                <c:pt idx="69">
                  <c:v>21.98</c:v>
                </c:pt>
                <c:pt idx="70">
                  <c:v>78</c:v>
                </c:pt>
                <c:pt idx="71">
                  <c:v>389.97</c:v>
                </c:pt>
                <c:pt idx="72">
                  <c:v>1599.99</c:v>
                </c:pt>
                <c:pt idx="73">
                  <c:v>899.99</c:v>
                </c:pt>
                <c:pt idx="74">
                  <c:v>249.95000000000002</c:v>
                </c:pt>
                <c:pt idx="75">
                  <c:v>59.96</c:v>
                </c:pt>
                <c:pt idx="76">
                  <c:v>32</c:v>
                </c:pt>
                <c:pt idx="77">
                  <c:v>209.96999999999997</c:v>
                </c:pt>
                <c:pt idx="78">
                  <c:v>499.98</c:v>
                </c:pt>
                <c:pt idx="79">
                  <c:v>499.99</c:v>
                </c:pt>
                <c:pt idx="80">
                  <c:v>179.98</c:v>
                </c:pt>
                <c:pt idx="81">
                  <c:v>38.97</c:v>
                </c:pt>
                <c:pt idx="82">
                  <c:v>100</c:v>
                </c:pt>
                <c:pt idx="83">
                  <c:v>149.94</c:v>
                </c:pt>
                <c:pt idx="84">
                  <c:v>99.99</c:v>
                </c:pt>
                <c:pt idx="85">
                  <c:v>2599.98</c:v>
                </c:pt>
                <c:pt idx="86">
                  <c:v>239.96999999999997</c:v>
                </c:pt>
                <c:pt idx="87">
                  <c:v>55.96</c:v>
                </c:pt>
                <c:pt idx="88">
                  <c:v>105</c:v>
                </c:pt>
                <c:pt idx="89">
                  <c:v>259.98</c:v>
                </c:pt>
                <c:pt idx="90">
                  <c:v>199.98</c:v>
                </c:pt>
                <c:pt idx="91">
                  <c:v>179.99</c:v>
                </c:pt>
                <c:pt idx="92">
                  <c:v>319.95999999999998</c:v>
                </c:pt>
                <c:pt idx="93">
                  <c:v>44.97</c:v>
                </c:pt>
                <c:pt idx="94">
                  <c:v>68</c:v>
                </c:pt>
                <c:pt idx="95">
                  <c:v>999.99</c:v>
                </c:pt>
                <c:pt idx="96">
                  <c:v>899.97</c:v>
                </c:pt>
                <c:pt idx="97">
                  <c:v>349.99</c:v>
                </c:pt>
                <c:pt idx="98">
                  <c:v>119.94</c:v>
                </c:pt>
                <c:pt idx="99">
                  <c:v>25.98</c:v>
                </c:pt>
                <c:pt idx="100">
                  <c:v>82</c:v>
                </c:pt>
                <c:pt idx="101">
                  <c:v>219.98</c:v>
                </c:pt>
                <c:pt idx="102">
                  <c:v>3899.99</c:v>
                </c:pt>
                <c:pt idx="103">
                  <c:v>699.98</c:v>
                </c:pt>
                <c:pt idx="104">
                  <c:v>119.97</c:v>
                </c:pt>
                <c:pt idx="105">
                  <c:v>43.96</c:v>
                </c:pt>
                <c:pt idx="106">
                  <c:v>6.5</c:v>
                </c:pt>
                <c:pt idx="107">
                  <c:v>399.99</c:v>
                </c:pt>
                <c:pt idx="108">
                  <c:v>459.98</c:v>
                </c:pt>
                <c:pt idx="109">
                  <c:v>159.99</c:v>
                </c:pt>
                <c:pt idx="110">
                  <c:v>59.96</c:v>
                </c:pt>
                <c:pt idx="111">
                  <c:v>37.979999999999997</c:v>
                </c:pt>
                <c:pt idx="112">
                  <c:v>15</c:v>
                </c:pt>
                <c:pt idx="113">
                  <c:v>689.84999999999991</c:v>
                </c:pt>
                <c:pt idx="114">
                  <c:v>249.99</c:v>
                </c:pt>
                <c:pt idx="115">
                  <c:v>599.9</c:v>
                </c:pt>
                <c:pt idx="116">
                  <c:v>149.97</c:v>
                </c:pt>
                <c:pt idx="117">
                  <c:v>67.959999999999994</c:v>
                </c:pt>
                <c:pt idx="118">
                  <c:v>29.98</c:v>
                </c:pt>
                <c:pt idx="119">
                  <c:v>249.99</c:v>
                </c:pt>
                <c:pt idx="120">
                  <c:v>1199.98</c:v>
                </c:pt>
                <c:pt idx="121">
                  <c:v>89.99</c:v>
                </c:pt>
                <c:pt idx="122">
                  <c:v>64.95</c:v>
                </c:pt>
                <c:pt idx="123">
                  <c:v>44.97</c:v>
                </c:pt>
                <c:pt idx="124">
                  <c:v>30</c:v>
                </c:pt>
                <c:pt idx="125">
                  <c:v>199.99</c:v>
                </c:pt>
                <c:pt idx="126">
                  <c:v>499.99</c:v>
                </c:pt>
                <c:pt idx="127">
                  <c:v>799.98</c:v>
                </c:pt>
                <c:pt idx="128">
                  <c:v>294</c:v>
                </c:pt>
                <c:pt idx="129">
                  <c:v>17.98</c:v>
                </c:pt>
                <c:pt idx="130">
                  <c:v>36</c:v>
                </c:pt>
                <c:pt idx="131">
                  <c:v>159.80000000000001</c:v>
                </c:pt>
                <c:pt idx="132">
                  <c:v>1299.99</c:v>
                </c:pt>
                <c:pt idx="133">
                  <c:v>159.97999999999999</c:v>
                </c:pt>
                <c:pt idx="134">
                  <c:v>139.96</c:v>
                </c:pt>
                <c:pt idx="135">
                  <c:v>29.97</c:v>
                </c:pt>
                <c:pt idx="136">
                  <c:v>6.8</c:v>
                </c:pt>
                <c:pt idx="137">
                  <c:v>199.9</c:v>
                </c:pt>
                <c:pt idx="138">
                  <c:v>1499.99</c:v>
                </c:pt>
                <c:pt idx="139">
                  <c:v>139.99</c:v>
                </c:pt>
                <c:pt idx="140">
                  <c:v>134.97</c:v>
                </c:pt>
                <c:pt idx="141">
                  <c:v>23.98</c:v>
                </c:pt>
                <c:pt idx="142">
                  <c:v>29.5</c:v>
                </c:pt>
                <c:pt idx="143">
                  <c:v>299.99</c:v>
                </c:pt>
                <c:pt idx="144">
                  <c:v>549</c:v>
                </c:pt>
                <c:pt idx="145">
                  <c:v>399.9</c:v>
                </c:pt>
                <c:pt idx="146">
                  <c:v>196</c:v>
                </c:pt>
                <c:pt idx="147">
                  <c:v>32.97</c:v>
                </c:pt>
                <c:pt idx="148">
                  <c:v>25</c:v>
                </c:pt>
                <c:pt idx="149">
                  <c:v>299.98</c:v>
                </c:pt>
                <c:pt idx="150">
                  <c:v>349.99</c:v>
                </c:pt>
                <c:pt idx="151">
                  <c:v>399.98</c:v>
                </c:pt>
                <c:pt idx="152">
                  <c:v>164.97</c:v>
                </c:pt>
                <c:pt idx="153">
                  <c:v>33.979999999999997</c:v>
                </c:pt>
                <c:pt idx="154">
                  <c:v>59</c:v>
                </c:pt>
                <c:pt idx="155">
                  <c:v>299.99</c:v>
                </c:pt>
                <c:pt idx="156">
                  <c:v>899.99</c:v>
                </c:pt>
                <c:pt idx="157">
                  <c:v>499.95</c:v>
                </c:pt>
                <c:pt idx="158">
                  <c:v>99.96</c:v>
                </c:pt>
                <c:pt idx="159">
                  <c:v>23.97</c:v>
                </c:pt>
                <c:pt idx="160">
                  <c:v>36</c:v>
                </c:pt>
                <c:pt idx="161">
                  <c:v>69.98</c:v>
                </c:pt>
                <c:pt idx="162">
                  <c:v>1199.99</c:v>
                </c:pt>
                <c:pt idx="163">
                  <c:v>199.99</c:v>
                </c:pt>
                <c:pt idx="164">
                  <c:v>149.94999999999999</c:v>
                </c:pt>
                <c:pt idx="165">
                  <c:v>35.96</c:v>
                </c:pt>
                <c:pt idx="166">
                  <c:v>16.989999999999998</c:v>
                </c:pt>
                <c:pt idx="167">
                  <c:v>149.97</c:v>
                </c:pt>
                <c:pt idx="168">
                  <c:v>699.99</c:v>
                </c:pt>
                <c:pt idx="169">
                  <c:v>279.98</c:v>
                </c:pt>
                <c:pt idx="170">
                  <c:v>104.97</c:v>
                </c:pt>
                <c:pt idx="171">
                  <c:v>19.98</c:v>
                </c:pt>
                <c:pt idx="172">
                  <c:v>29.5</c:v>
                </c:pt>
                <c:pt idx="173">
                  <c:v>699.99</c:v>
                </c:pt>
                <c:pt idx="174">
                  <c:v>149.97</c:v>
                </c:pt>
                <c:pt idx="175">
                  <c:v>99.98</c:v>
                </c:pt>
                <c:pt idx="176">
                  <c:v>59.6</c:v>
                </c:pt>
                <c:pt idx="177">
                  <c:v>35.97</c:v>
                </c:pt>
                <c:pt idx="178">
                  <c:v>68</c:v>
                </c:pt>
                <c:pt idx="179">
                  <c:v>146</c:v>
                </c:pt>
                <c:pt idx="180">
                  <c:v>649.99</c:v>
                </c:pt>
                <c:pt idx="181">
                  <c:v>399.99</c:v>
                </c:pt>
                <c:pt idx="182">
                  <c:v>179.97</c:v>
                </c:pt>
                <c:pt idx="183">
                  <c:v>25.98</c:v>
                </c:pt>
                <c:pt idx="184">
                  <c:v>190</c:v>
                </c:pt>
                <c:pt idx="185">
                  <c:v>499.95</c:v>
                </c:pt>
                <c:pt idx="186">
                  <c:v>399</c:v>
                </c:pt>
                <c:pt idx="187">
                  <c:v>398</c:v>
                </c:pt>
                <c:pt idx="188">
                  <c:v>139.96</c:v>
                </c:pt>
                <c:pt idx="189">
                  <c:v>32.97</c:v>
                </c:pt>
                <c:pt idx="190">
                  <c:v>18</c:v>
                </c:pt>
                <c:pt idx="191">
                  <c:v>169.95</c:v>
                </c:pt>
                <c:pt idx="192">
                  <c:v>199.99</c:v>
                </c:pt>
                <c:pt idx="193">
                  <c:v>199.95</c:v>
                </c:pt>
                <c:pt idx="194">
                  <c:v>359.98</c:v>
                </c:pt>
                <c:pt idx="195">
                  <c:v>23.98</c:v>
                </c:pt>
                <c:pt idx="196">
                  <c:v>125</c:v>
                </c:pt>
                <c:pt idx="197">
                  <c:v>449.99</c:v>
                </c:pt>
                <c:pt idx="198">
                  <c:v>358</c:v>
                </c:pt>
                <c:pt idx="199">
                  <c:v>99.95</c:v>
                </c:pt>
                <c:pt idx="200">
                  <c:v>179.97</c:v>
                </c:pt>
                <c:pt idx="201">
                  <c:v>29.98</c:v>
                </c:pt>
                <c:pt idx="202">
                  <c:v>52</c:v>
                </c:pt>
                <c:pt idx="203">
                  <c:v>399.99</c:v>
                </c:pt>
                <c:pt idx="204">
                  <c:v>299.99</c:v>
                </c:pt>
                <c:pt idx="205">
                  <c:v>379.99</c:v>
                </c:pt>
                <c:pt idx="206">
                  <c:v>196</c:v>
                </c:pt>
                <c:pt idx="207">
                  <c:v>50.97</c:v>
                </c:pt>
                <c:pt idx="208">
                  <c:v>79</c:v>
                </c:pt>
                <c:pt idx="209">
                  <c:v>129</c:v>
                </c:pt>
                <c:pt idx="210">
                  <c:v>749.99</c:v>
                </c:pt>
                <c:pt idx="211">
                  <c:v>339.98</c:v>
                </c:pt>
                <c:pt idx="212">
                  <c:v>39.6</c:v>
                </c:pt>
                <c:pt idx="213">
                  <c:v>32.97</c:v>
                </c:pt>
                <c:pt idx="214">
                  <c:v>58</c:v>
                </c:pt>
                <c:pt idx="215">
                  <c:v>349.99</c:v>
                </c:pt>
                <c:pt idx="216">
                  <c:v>2399</c:v>
                </c:pt>
                <c:pt idx="217">
                  <c:v>449.99</c:v>
                </c:pt>
                <c:pt idx="218">
                  <c:v>149.97</c:v>
                </c:pt>
                <c:pt idx="219">
                  <c:v>25.98</c:v>
                </c:pt>
                <c:pt idx="220">
                  <c:v>27</c:v>
                </c:pt>
                <c:pt idx="221">
                  <c:v>599.99</c:v>
                </c:pt>
                <c:pt idx="222">
                  <c:v>199.96</c:v>
                </c:pt>
                <c:pt idx="223">
                  <c:v>459.98</c:v>
                </c:pt>
                <c:pt idx="224">
                  <c:v>89.98</c:v>
                </c:pt>
                <c:pt idx="225">
                  <c:v>80.97</c:v>
                </c:pt>
                <c:pt idx="226">
                  <c:v>6.7</c:v>
                </c:pt>
                <c:pt idx="227">
                  <c:v>299.89999999999998</c:v>
                </c:pt>
                <c:pt idx="228">
                  <c:v>169</c:v>
                </c:pt>
                <c:pt idx="229">
                  <c:v>599</c:v>
                </c:pt>
                <c:pt idx="230">
                  <c:v>259.95999999999998</c:v>
                </c:pt>
                <c:pt idx="231">
                  <c:v>19.98</c:v>
                </c:pt>
                <c:pt idx="232">
                  <c:v>24</c:v>
                </c:pt>
                <c:pt idx="233">
                  <c:v>98.850000000000009</c:v>
                </c:pt>
                <c:pt idx="234">
                  <c:v>299</c:v>
                </c:pt>
                <c:pt idx="235">
                  <c:v>159.99</c:v>
                </c:pt>
                <c:pt idx="236">
                  <c:v>270</c:v>
                </c:pt>
                <c:pt idx="237">
                  <c:v>32.97</c:v>
                </c:pt>
                <c:pt idx="238">
                  <c:v>55</c:v>
                </c:pt>
                <c:pt idx="239">
                  <c:v>59.98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8-41D4-8735-447F3DC4333F}"/>
            </c:ext>
          </c:extLst>
        </c:ser>
        <c:ser>
          <c:idx val="1"/>
          <c:order val="1"/>
          <c:tx>
            <c:strRef>
              <c:f>'Online Sales Data'!$K$1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'Online Sales Data'!$K$242:$K$245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numCache>
            </c:numRef>
          </c:cat>
          <c:val>
            <c:numRef>
              <c:f>'Online Sales Data'!$K$2:$K$241</c:f>
              <c:numCache>
                <c:formatCode>General</c:formatCode>
                <c:ptCount val="2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68-41D4-8735-447F3DC4333F}"/>
            </c:ext>
          </c:extLst>
        </c:ser>
        <c:ser>
          <c:idx val="2"/>
          <c:order val="2"/>
          <c:tx>
            <c:v>Predicted Sales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'Online Sales Data'!$K$242:$K$245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</c:numCache>
            </c:numRef>
          </c:cat>
          <c:val>
            <c:numRef>
              <c:f>'Online Sales Data'!$J$242:$J$245</c:f>
              <c:numCache>
                <c:formatCode>General</c:formatCode>
                <c:ptCount val="4"/>
                <c:pt idx="0">
                  <c:v>180.46886741633602</c:v>
                </c:pt>
                <c:pt idx="1">
                  <c:v>163.71326568908808</c:v>
                </c:pt>
                <c:pt idx="2">
                  <c:v>134.80736322787948</c:v>
                </c:pt>
                <c:pt idx="3">
                  <c:v>101.52886019414427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68-41D4-8735-447F3DC4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003488"/>
        <c:axId val="325005408"/>
      </c:lineChart>
      <c:catAx>
        <c:axId val="32500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05408"/>
        <c:crosses val="autoZero"/>
        <c:auto val="1"/>
        <c:lblAlgn val="ctr"/>
        <c:lblOffset val="100"/>
        <c:noMultiLvlLbl val="0"/>
      </c:catAx>
      <c:valAx>
        <c:axId val="325005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0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2</xdr:row>
      <xdr:rowOff>85725</xdr:rowOff>
    </xdr:from>
    <xdr:to>
      <xdr:col>9</xdr:col>
      <xdr:colOff>552450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8B22A-973D-ACA9-8EDD-B1D0796E9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590550</xdr:colOff>
      <xdr:row>0</xdr:row>
      <xdr:rowOff>180975</xdr:rowOff>
    </xdr:from>
    <xdr:to>
      <xdr:col>21</xdr:col>
      <xdr:colOff>285750</xdr:colOff>
      <xdr:row>15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815B30-7E7E-6C46-3632-9995D0E84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ana" refreshedDate="46143.515032986114" createdVersion="8" refreshedVersion="8" minRefreshableVersion="3" recordCount="240" xr:uid="{2369598E-648C-4B8A-83A9-6C3C8B57BD1C}">
  <cacheSource type="worksheet">
    <worksheetSource name="Online_Sales_Data"/>
  </cacheSource>
  <cacheFields count="12">
    <cacheField name="Transaction ID" numFmtId="0">
      <sharedItems containsSemiMixedTypes="0" containsString="0" containsNumber="1" containsInteger="1" minValue="10001" maxValue="10240"/>
    </cacheField>
    <cacheField name="Date" numFmtId="14">
      <sharedItems containsSemiMixedTypes="0" containsNonDate="0" containsDate="1" containsString="0" minDate="2024-01-01T00:00:00" maxDate="2024-08-28T00:00:00"/>
    </cacheField>
    <cacheField name="Product Category" numFmtId="0">
      <sharedItems/>
    </cacheField>
    <cacheField name="Product Name" numFmtId="0">
      <sharedItems/>
    </cacheField>
    <cacheField name="Units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6.5" maxValue="3899.99"/>
    </cacheField>
    <cacheField name="Total Revenue" numFmtId="0">
      <sharedItems containsSemiMixedTypes="0" containsString="0" containsNumber="1" minValue="6.5" maxValue="3899.99"/>
    </cacheField>
    <cacheField name="Region" numFmtId="0">
      <sharedItems/>
    </cacheField>
    <cacheField name="Payment Method" numFmtId="0">
      <sharedItems/>
    </cacheField>
    <cacheField name="Total Sales" numFmtId="0">
      <sharedItems containsSemiMixedTypes="0" containsString="0" containsNumber="1" minValue="6.5" maxValue="3899.99"/>
    </cacheField>
    <cacheField name="Month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Year" numFmtId="0">
      <sharedItems containsSemiMixedTypes="0" containsString="0" containsNumber="1" containsInteger="1" minValue="2024" maxValue="2024" count="1"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0001"/>
    <d v="2024-01-01T00:00:00"/>
    <s v="Electronics"/>
    <s v="iPhone 14 Pro"/>
    <n v="2"/>
    <n v="999.99"/>
    <n v="1999.98"/>
    <s v="North America"/>
    <s v="Credit Card"/>
    <n v="1999.98"/>
    <x v="0"/>
    <x v="0"/>
  </r>
  <r>
    <n v="10002"/>
    <d v="2024-01-02T00:00:00"/>
    <s v="Home Appliances"/>
    <s v="Dyson V11 Vacuum"/>
    <n v="1"/>
    <n v="499.99"/>
    <n v="499.99"/>
    <s v="Europe"/>
    <s v="PayPal"/>
    <n v="499.99"/>
    <x v="0"/>
    <x v="0"/>
  </r>
  <r>
    <n v="10003"/>
    <d v="2024-01-03T00:00:00"/>
    <s v="Clothing"/>
    <s v="Levi's 501 Jeans"/>
    <n v="3"/>
    <n v="69.989999999999995"/>
    <n v="209.97"/>
    <s v="Asia"/>
    <s v="Debit Card"/>
    <n v="209.96999999999997"/>
    <x v="0"/>
    <x v="0"/>
  </r>
  <r>
    <n v="10004"/>
    <d v="2024-01-04T00:00:00"/>
    <s v="Books"/>
    <s v="The Da Vinci Code"/>
    <n v="4"/>
    <n v="15.99"/>
    <n v="63.96"/>
    <s v="North America"/>
    <s v="Credit Card"/>
    <n v="63.96"/>
    <x v="0"/>
    <x v="0"/>
  </r>
  <r>
    <n v="10005"/>
    <d v="2024-01-05T00:00:00"/>
    <s v="Beauty Products"/>
    <s v="Neutrogena Skincare Set"/>
    <n v="1"/>
    <n v="89.99"/>
    <n v="89.99"/>
    <s v="Europe"/>
    <s v="PayPal"/>
    <n v="89.99"/>
    <x v="0"/>
    <x v="0"/>
  </r>
  <r>
    <n v="10006"/>
    <d v="2024-01-06T00:00:00"/>
    <s v="Sports"/>
    <s v="Wilson Evolution Basketball"/>
    <n v="5"/>
    <n v="29.99"/>
    <n v="149.94999999999999"/>
    <s v="Asia"/>
    <s v="Credit Card"/>
    <n v="149.94999999999999"/>
    <x v="0"/>
    <x v="0"/>
  </r>
  <r>
    <n v="10007"/>
    <d v="2024-01-07T00:00:00"/>
    <s v="Electronics"/>
    <s v="MacBook Pro 16-inch"/>
    <n v="1"/>
    <n v="2499.9899999999998"/>
    <n v="2499.9899999999998"/>
    <s v="North America"/>
    <s v="Credit Card"/>
    <n v="2499.9899999999998"/>
    <x v="0"/>
    <x v="0"/>
  </r>
  <r>
    <n v="10008"/>
    <d v="2024-01-08T00:00:00"/>
    <s v="Home Appliances"/>
    <s v="Blueair Classic 480i"/>
    <n v="2"/>
    <n v="599.99"/>
    <n v="1199.98"/>
    <s v="Europe"/>
    <s v="PayPal"/>
    <n v="1199.98"/>
    <x v="0"/>
    <x v="0"/>
  </r>
  <r>
    <n v="10009"/>
    <d v="2024-01-09T00:00:00"/>
    <s v="Clothing"/>
    <s v="Nike Air Force 1"/>
    <n v="6"/>
    <n v="89.99"/>
    <n v="539.94000000000005"/>
    <s v="Asia"/>
    <s v="Debit Card"/>
    <n v="539.93999999999994"/>
    <x v="0"/>
    <x v="0"/>
  </r>
  <r>
    <n v="10010"/>
    <d v="2024-01-10T00:00:00"/>
    <s v="Books"/>
    <s v="Dune by Frank Herbert"/>
    <n v="2"/>
    <n v="25.99"/>
    <n v="51.98"/>
    <s v="North America"/>
    <s v="Credit Card"/>
    <n v="51.98"/>
    <x v="0"/>
    <x v="0"/>
  </r>
  <r>
    <n v="10011"/>
    <d v="2024-01-11T00:00:00"/>
    <s v="Beauty Products"/>
    <s v="Chanel No. 5 Perfume"/>
    <n v="1"/>
    <n v="129.99"/>
    <n v="129.99"/>
    <s v="Europe"/>
    <s v="PayPal"/>
    <n v="129.99"/>
    <x v="0"/>
    <x v="0"/>
  </r>
  <r>
    <n v="10012"/>
    <d v="2024-01-12T00:00:00"/>
    <s v="Sports"/>
    <s v="Babolat Pure Drive Tennis Racket"/>
    <n v="3"/>
    <n v="199.99"/>
    <n v="599.97"/>
    <s v="Asia"/>
    <s v="Credit Card"/>
    <n v="599.97"/>
    <x v="0"/>
    <x v="0"/>
  </r>
  <r>
    <n v="10013"/>
    <d v="2024-01-13T00:00:00"/>
    <s v="Electronics"/>
    <s v="Samsung Galaxy Tab S8"/>
    <n v="2"/>
    <n v="749.99"/>
    <n v="1499.98"/>
    <s v="North America"/>
    <s v="Credit Card"/>
    <n v="1499.98"/>
    <x v="0"/>
    <x v="0"/>
  </r>
  <r>
    <n v="10014"/>
    <d v="2024-01-14T00:00:00"/>
    <s v="Home Appliances"/>
    <s v="Keurig K-Elite Coffee Maker"/>
    <n v="1"/>
    <n v="189.99"/>
    <n v="189.99"/>
    <s v="Europe"/>
    <s v="PayPal"/>
    <n v="189.99"/>
    <x v="0"/>
    <x v="0"/>
  </r>
  <r>
    <n v="10015"/>
    <d v="2024-01-15T00:00:00"/>
    <s v="Clothing"/>
    <s v="North Face Down Jacket"/>
    <n v="2"/>
    <n v="249.99"/>
    <n v="499.98"/>
    <s v="Asia"/>
    <s v="Debit Card"/>
    <n v="499.98"/>
    <x v="0"/>
    <x v="0"/>
  </r>
  <r>
    <n v="10016"/>
    <d v="2024-01-16T00:00:00"/>
    <s v="Books"/>
    <s v="Salt, Fat, Acid, Heat by Samin Nosrat"/>
    <n v="3"/>
    <n v="35.99"/>
    <n v="107.97"/>
    <s v="North America"/>
    <s v="Credit Card"/>
    <n v="107.97"/>
    <x v="0"/>
    <x v="0"/>
  </r>
  <r>
    <n v="10017"/>
    <d v="2024-01-17T00:00:00"/>
    <s v="Beauty Products"/>
    <s v="Dyson Supersonic Hair Dryer"/>
    <n v="1"/>
    <n v="399.99"/>
    <n v="399.99"/>
    <s v="Europe"/>
    <s v="PayPal"/>
    <n v="399.99"/>
    <x v="0"/>
    <x v="0"/>
  </r>
  <r>
    <n v="10018"/>
    <d v="2024-01-18T00:00:00"/>
    <s v="Sports"/>
    <s v="Manduka PRO Yoga Mat"/>
    <n v="4"/>
    <n v="119.99"/>
    <n v="479.96"/>
    <s v="Asia"/>
    <s v="Credit Card"/>
    <n v="479.96"/>
    <x v="0"/>
    <x v="0"/>
  </r>
  <r>
    <n v="10019"/>
    <d v="2024-01-19T00:00:00"/>
    <s v="Electronics"/>
    <s v="Garmin Forerunner 945"/>
    <n v="2"/>
    <n v="499.99"/>
    <n v="999.98"/>
    <s v="North America"/>
    <s v="Credit Card"/>
    <n v="999.98"/>
    <x v="0"/>
    <x v="0"/>
  </r>
  <r>
    <n v="10020"/>
    <d v="2024-01-20T00:00:00"/>
    <s v="Home Appliances"/>
    <s v="Ninja Professional Blender"/>
    <n v="1"/>
    <n v="99.99"/>
    <n v="99.99"/>
    <s v="Europe"/>
    <s v="PayPal"/>
    <n v="99.99"/>
    <x v="0"/>
    <x v="0"/>
  </r>
  <r>
    <n v="10021"/>
    <d v="2024-01-21T00:00:00"/>
    <s v="Clothing"/>
    <s v="Zara Summer Dress"/>
    <n v="3"/>
    <n v="59.99"/>
    <n v="179.97"/>
    <s v="Asia"/>
    <s v="Debit Card"/>
    <n v="179.97"/>
    <x v="0"/>
    <x v="0"/>
  </r>
  <r>
    <n v="10022"/>
    <d v="2024-01-22T00:00:00"/>
    <s v="Books"/>
    <s v="Gone Girl by Gillian Flynn"/>
    <n v="2"/>
    <n v="22.99"/>
    <n v="45.98"/>
    <s v="North America"/>
    <s v="Credit Card"/>
    <n v="45.98"/>
    <x v="0"/>
    <x v="0"/>
  </r>
  <r>
    <n v="10023"/>
    <d v="2024-01-23T00:00:00"/>
    <s v="Beauty Products"/>
    <s v="Olay Regenerist Face Cream"/>
    <n v="1"/>
    <n v="49.99"/>
    <n v="49.99"/>
    <s v="Europe"/>
    <s v="PayPal"/>
    <n v="49.99"/>
    <x v="0"/>
    <x v="0"/>
  </r>
  <r>
    <n v="10024"/>
    <d v="2024-01-24T00:00:00"/>
    <s v="Sports"/>
    <s v="Adidas FIFA World Cup Football"/>
    <n v="3"/>
    <n v="29.99"/>
    <n v="89.97"/>
    <s v="Asia"/>
    <s v="Credit Card"/>
    <n v="89.97"/>
    <x v="0"/>
    <x v="0"/>
  </r>
  <r>
    <n v="10025"/>
    <d v="2024-01-25T00:00:00"/>
    <s v="Electronics"/>
    <s v="Bose QuietComfort 35 Headphones"/>
    <n v="1"/>
    <n v="299.99"/>
    <n v="299.99"/>
    <s v="North America"/>
    <s v="Credit Card"/>
    <n v="299.99"/>
    <x v="0"/>
    <x v="0"/>
  </r>
  <r>
    <n v="10026"/>
    <d v="2024-01-26T00:00:00"/>
    <s v="Home Appliances"/>
    <s v="Panasonic NN-SN966S Microwave"/>
    <n v="1"/>
    <n v="179.99"/>
    <n v="179.99"/>
    <s v="Europe"/>
    <s v="PayPal"/>
    <n v="179.99"/>
    <x v="0"/>
    <x v="0"/>
  </r>
  <r>
    <n v="10027"/>
    <d v="2024-01-27T00:00:00"/>
    <s v="Clothing"/>
    <s v="Adidas Ultraboost Shoes"/>
    <n v="2"/>
    <n v="179.99"/>
    <n v="359.98"/>
    <s v="Asia"/>
    <s v="Debit Card"/>
    <n v="359.98"/>
    <x v="0"/>
    <x v="0"/>
  </r>
  <r>
    <n v="10028"/>
    <d v="2024-01-28T00:00:00"/>
    <s v="Books"/>
    <s v="Pride and Prejudice by Jane Austen"/>
    <n v="3"/>
    <n v="12.99"/>
    <n v="38.97"/>
    <s v="North America"/>
    <s v="Credit Card"/>
    <n v="38.97"/>
    <x v="0"/>
    <x v="0"/>
  </r>
  <r>
    <n v="10029"/>
    <d v="2024-01-29T00:00:00"/>
    <s v="Beauty Products"/>
    <s v="MAC Ruby Woo Lipstick"/>
    <n v="1"/>
    <n v="29.99"/>
    <n v="29.99"/>
    <s v="Europe"/>
    <s v="PayPal"/>
    <n v="29.99"/>
    <x v="0"/>
    <x v="0"/>
  </r>
  <r>
    <n v="10030"/>
    <d v="2024-01-30T00:00:00"/>
    <s v="Sports"/>
    <s v="Nike Air Zoom Pegasus 37"/>
    <n v="2"/>
    <n v="129.99"/>
    <n v="259.98"/>
    <s v="Asia"/>
    <s v="Credit Card"/>
    <n v="259.98"/>
    <x v="0"/>
    <x v="0"/>
  </r>
  <r>
    <n v="10031"/>
    <d v="2024-01-31T00:00:00"/>
    <s v="Electronics"/>
    <s v="Sony WH-1000XM4 Headphones"/>
    <n v="2"/>
    <n v="349.99"/>
    <n v="699.98"/>
    <s v="North America"/>
    <s v="Credit Card"/>
    <n v="699.98"/>
    <x v="0"/>
    <x v="0"/>
  </r>
  <r>
    <n v="10032"/>
    <d v="2024-02-01T00:00:00"/>
    <s v="Home Appliances"/>
    <s v="Instant Pot Duo"/>
    <n v="3"/>
    <n v="89.99"/>
    <n v="269.97000000000003"/>
    <s v="Europe"/>
    <s v="PayPal"/>
    <n v="269.96999999999997"/>
    <x v="1"/>
    <x v="0"/>
  </r>
  <r>
    <n v="10033"/>
    <d v="2024-02-02T00:00:00"/>
    <s v="Clothing"/>
    <s v="Under Armour HeatGear T-Shirt"/>
    <n v="5"/>
    <n v="29.99"/>
    <n v="149.94999999999999"/>
    <s v="Asia"/>
    <s v="Debit Card"/>
    <n v="149.94999999999999"/>
    <x v="1"/>
    <x v="0"/>
  </r>
  <r>
    <n v="10034"/>
    <d v="2024-02-03T00:00:00"/>
    <s v="Books"/>
    <s v="1984 by George Orwell"/>
    <n v="4"/>
    <n v="19.989999999999998"/>
    <n v="79.959999999999994"/>
    <s v="North America"/>
    <s v="Credit Card"/>
    <n v="79.959999999999994"/>
    <x v="1"/>
    <x v="0"/>
  </r>
  <r>
    <n v="10035"/>
    <d v="2024-02-04T00:00:00"/>
    <s v="Beauty Products"/>
    <s v="L'Oreal Revitalift Serum"/>
    <n v="2"/>
    <n v="39.99"/>
    <n v="79.98"/>
    <s v="Europe"/>
    <s v="PayPal"/>
    <n v="79.98"/>
    <x v="1"/>
    <x v="0"/>
  </r>
  <r>
    <n v="10036"/>
    <d v="2024-02-05T00:00:00"/>
    <s v="Sports"/>
    <s v="Peloton Bike"/>
    <n v="1"/>
    <n v="1895"/>
    <n v="1895"/>
    <s v="Asia"/>
    <s v="Credit Card"/>
    <n v="1895"/>
    <x v="1"/>
    <x v="0"/>
  </r>
  <r>
    <n v="10037"/>
    <d v="2024-02-06T00:00:00"/>
    <s v="Electronics"/>
    <s v="Apple Watch Series 8"/>
    <n v="3"/>
    <n v="399.99"/>
    <n v="1199.97"/>
    <s v="North America"/>
    <s v="Credit Card"/>
    <n v="1199.97"/>
    <x v="1"/>
    <x v="0"/>
  </r>
  <r>
    <n v="10038"/>
    <d v="2024-02-07T00:00:00"/>
    <s v="Home Appliances"/>
    <s v="Roomba i7+"/>
    <n v="2"/>
    <n v="799.99"/>
    <n v="1599.98"/>
    <s v="Europe"/>
    <s v="PayPal"/>
    <n v="1599.98"/>
    <x v="1"/>
    <x v="0"/>
  </r>
  <r>
    <n v="10039"/>
    <d v="2024-02-08T00:00:00"/>
    <s v="Clothing"/>
    <s v="Columbia Fleece Jacket"/>
    <n v="4"/>
    <n v="59.99"/>
    <n v="239.96"/>
    <s v="Asia"/>
    <s v="Debit Card"/>
    <n v="239.96"/>
    <x v="1"/>
    <x v="0"/>
  </r>
  <r>
    <n v="10040"/>
    <d v="2024-02-09T00:00:00"/>
    <s v="Books"/>
    <s v="Harry Potter and the Sorcerer's Stone"/>
    <n v="3"/>
    <n v="24.99"/>
    <n v="74.97"/>
    <s v="North America"/>
    <s v="Credit Card"/>
    <n v="74.97"/>
    <x v="1"/>
    <x v="0"/>
  </r>
  <r>
    <n v="10041"/>
    <d v="2024-02-10T00:00:00"/>
    <s v="Beauty Products"/>
    <s v="Estee Lauder Advanced Night Repair"/>
    <n v="1"/>
    <n v="105"/>
    <n v="105"/>
    <s v="Europe"/>
    <s v="PayPal"/>
    <n v="105"/>
    <x v="1"/>
    <x v="0"/>
  </r>
  <r>
    <n v="10042"/>
    <d v="2024-02-11T00:00:00"/>
    <s v="Sports"/>
    <s v="Fitbit Charge 5"/>
    <n v="2"/>
    <n v="129.99"/>
    <n v="259.98"/>
    <s v="Asia"/>
    <s v="Credit Card"/>
    <n v="259.98"/>
    <x v="1"/>
    <x v="0"/>
  </r>
  <r>
    <n v="10043"/>
    <d v="2024-02-12T00:00:00"/>
    <s v="Electronics"/>
    <s v="GoPro HERO10 Black"/>
    <n v="3"/>
    <n v="399.99"/>
    <n v="1199.97"/>
    <s v="North America"/>
    <s v="Credit Card"/>
    <n v="1199.97"/>
    <x v="1"/>
    <x v="0"/>
  </r>
  <r>
    <n v="10044"/>
    <d v="2024-02-13T00:00:00"/>
    <s v="Home Appliances"/>
    <s v="Nespresso VertuoPlus"/>
    <n v="1"/>
    <n v="199.99"/>
    <n v="199.99"/>
    <s v="Europe"/>
    <s v="PayPal"/>
    <n v="199.99"/>
    <x v="1"/>
    <x v="0"/>
  </r>
  <r>
    <n v="10045"/>
    <d v="2024-02-14T00:00:00"/>
    <s v="Clothing"/>
    <s v="Patagonia Better Sweater"/>
    <n v="2"/>
    <n v="139.99"/>
    <n v="279.98"/>
    <s v="Asia"/>
    <s v="Debit Card"/>
    <n v="279.98"/>
    <x v="1"/>
    <x v="0"/>
  </r>
  <r>
    <n v="10046"/>
    <d v="2024-02-15T00:00:00"/>
    <s v="Books"/>
    <s v="Becoming by Michelle Obama"/>
    <n v="4"/>
    <n v="32.5"/>
    <n v="130"/>
    <s v="North America"/>
    <s v="Credit Card"/>
    <n v="130"/>
    <x v="1"/>
    <x v="0"/>
  </r>
  <r>
    <n v="10047"/>
    <d v="2024-02-16T00:00:00"/>
    <s v="Beauty Products"/>
    <s v="Clinique Moisture Surge"/>
    <n v="1"/>
    <n v="52"/>
    <n v="52"/>
    <s v="Europe"/>
    <s v="PayPal"/>
    <n v="52"/>
    <x v="1"/>
    <x v="0"/>
  </r>
  <r>
    <n v="10048"/>
    <d v="2024-02-17T00:00:00"/>
    <s v="Sports"/>
    <s v="Yeti Rambler Tumbler"/>
    <n v="6"/>
    <n v="39.99"/>
    <n v="239.94"/>
    <s v="Asia"/>
    <s v="Credit Card"/>
    <n v="239.94"/>
    <x v="1"/>
    <x v="0"/>
  </r>
  <r>
    <n v="10049"/>
    <d v="2024-02-18T00:00:00"/>
    <s v="Electronics"/>
    <s v="Kindle Paperwhite"/>
    <n v="2"/>
    <n v="129.99"/>
    <n v="259.98"/>
    <s v="North America"/>
    <s v="Credit Card"/>
    <n v="259.98"/>
    <x v="1"/>
    <x v="0"/>
  </r>
  <r>
    <n v="10050"/>
    <d v="2024-02-19T00:00:00"/>
    <s v="Home Appliances"/>
    <s v="Breville Smart Oven"/>
    <n v="1"/>
    <n v="299.99"/>
    <n v="299.99"/>
    <s v="Europe"/>
    <s v="PayPal"/>
    <n v="299.99"/>
    <x v="1"/>
    <x v="0"/>
  </r>
  <r>
    <n v="10051"/>
    <d v="2024-02-20T00:00:00"/>
    <s v="Clothing"/>
    <s v="Ray-Ban Aviator Sunglasses"/>
    <n v="3"/>
    <n v="154.99"/>
    <n v="464.97"/>
    <s v="Asia"/>
    <s v="Debit Card"/>
    <n v="464.97"/>
    <x v="1"/>
    <x v="0"/>
  </r>
  <r>
    <n v="10052"/>
    <d v="2024-02-21T00:00:00"/>
    <s v="Books"/>
    <s v="The Silent Patient by Alex Michaelides"/>
    <n v="2"/>
    <n v="26.99"/>
    <n v="53.98"/>
    <s v="North America"/>
    <s v="Credit Card"/>
    <n v="53.98"/>
    <x v="1"/>
    <x v="0"/>
  </r>
  <r>
    <n v="10053"/>
    <d v="2024-02-22T00:00:00"/>
    <s v="Beauty Products"/>
    <s v="Shiseido Ultimate Sun Protector"/>
    <n v="1"/>
    <n v="49"/>
    <n v="49"/>
    <s v="Europe"/>
    <s v="PayPal"/>
    <n v="49"/>
    <x v="1"/>
    <x v="0"/>
  </r>
  <r>
    <n v="10054"/>
    <d v="2024-02-23T00:00:00"/>
    <s v="Sports"/>
    <s v="Titleist Pro V1 Golf Balls"/>
    <n v="5"/>
    <n v="49.99"/>
    <n v="249.95"/>
    <s v="Asia"/>
    <s v="Credit Card"/>
    <n v="249.95000000000002"/>
    <x v="1"/>
    <x v="0"/>
  </r>
  <r>
    <n v="10055"/>
    <d v="2024-02-24T00:00:00"/>
    <s v="Electronics"/>
    <s v="Anker PowerCore Portable Charger"/>
    <n v="4"/>
    <n v="59.99"/>
    <n v="239.96"/>
    <s v="North America"/>
    <s v="Credit Card"/>
    <n v="239.96"/>
    <x v="1"/>
    <x v="0"/>
  </r>
  <r>
    <n v="10056"/>
    <d v="2024-02-25T00:00:00"/>
    <s v="Home Appliances"/>
    <s v="KitchenAid Artisan Stand Mixer"/>
    <n v="1"/>
    <n v="499.99"/>
    <n v="499.99"/>
    <s v="Europe"/>
    <s v="PayPal"/>
    <n v="499.99"/>
    <x v="1"/>
    <x v="0"/>
  </r>
  <r>
    <n v="10057"/>
    <d v="2024-02-26T00:00:00"/>
    <s v="Clothing"/>
    <s v="Calvin Klein Boxer Briefs"/>
    <n v="5"/>
    <n v="29.99"/>
    <n v="149.94999999999999"/>
    <s v="Asia"/>
    <s v="Debit Card"/>
    <n v="149.94999999999999"/>
    <x v="1"/>
    <x v="0"/>
  </r>
  <r>
    <n v="10058"/>
    <d v="2024-02-27T00:00:00"/>
    <s v="Books"/>
    <s v="Educated by Tara Westover"/>
    <n v="3"/>
    <n v="28"/>
    <n v="84"/>
    <s v="North America"/>
    <s v="Credit Card"/>
    <n v="84"/>
    <x v="1"/>
    <x v="0"/>
  </r>
  <r>
    <n v="10059"/>
    <d v="2024-02-28T00:00:00"/>
    <s v="Beauty Products"/>
    <s v="Anastasia Beverly Hills Brow Wiz"/>
    <n v="2"/>
    <n v="23"/>
    <n v="46"/>
    <s v="Europe"/>
    <s v="PayPal"/>
    <n v="46"/>
    <x v="1"/>
    <x v="0"/>
  </r>
  <r>
    <n v="10060"/>
    <d v="2024-02-29T00:00:00"/>
    <s v="Sports"/>
    <s v="Hyperice Hypervolt Massager"/>
    <n v="1"/>
    <n v="349"/>
    <n v="349"/>
    <s v="Asia"/>
    <s v="Credit Card"/>
    <n v="349"/>
    <x v="1"/>
    <x v="0"/>
  </r>
  <r>
    <n v="10061"/>
    <d v="2024-03-01T00:00:00"/>
    <s v="Electronics"/>
    <s v="Nintendo Switch"/>
    <n v="3"/>
    <n v="299.99"/>
    <n v="899.97"/>
    <s v="North America"/>
    <s v="Credit Card"/>
    <n v="899.97"/>
    <x v="2"/>
    <x v="0"/>
  </r>
  <r>
    <n v="10062"/>
    <d v="2024-03-02T00:00:00"/>
    <s v="Home Appliances"/>
    <s v="Philips Airfryer XXL"/>
    <n v="2"/>
    <n v="199.99"/>
    <n v="399.98"/>
    <s v="Europe"/>
    <s v="PayPal"/>
    <n v="399.98"/>
    <x v="2"/>
    <x v="0"/>
  </r>
  <r>
    <n v="10063"/>
    <d v="2024-03-03T00:00:00"/>
    <s v="Clothing"/>
    <s v="Hanes ComfortSoft T-Shirt"/>
    <n v="10"/>
    <n v="9.99"/>
    <n v="99.9"/>
    <s v="Asia"/>
    <s v="Debit Card"/>
    <n v="99.9"/>
    <x v="2"/>
    <x v="0"/>
  </r>
  <r>
    <n v="10064"/>
    <d v="2024-03-04T00:00:00"/>
    <s v="Books"/>
    <s v="Where the Crawdads Sing by Delia Owens"/>
    <n v="4"/>
    <n v="18.989999999999998"/>
    <n v="75.959999999999994"/>
    <s v="North America"/>
    <s v="Credit Card"/>
    <n v="75.959999999999994"/>
    <x v="2"/>
    <x v="0"/>
  </r>
  <r>
    <n v="10065"/>
    <d v="2024-03-05T00:00:00"/>
    <s v="Beauty Products"/>
    <s v="Lancome La Vie Est Belle"/>
    <n v="1"/>
    <n v="102"/>
    <n v="102"/>
    <s v="Europe"/>
    <s v="PayPal"/>
    <n v="102"/>
    <x v="2"/>
    <x v="0"/>
  </r>
  <r>
    <n v="10066"/>
    <d v="2024-03-06T00:00:00"/>
    <s v="Sports"/>
    <s v="Garmin Edge 530"/>
    <n v="2"/>
    <n v="299.99"/>
    <n v="599.98"/>
    <s v="Asia"/>
    <s v="Credit Card"/>
    <n v="599.98"/>
    <x v="2"/>
    <x v="0"/>
  </r>
  <r>
    <n v="10067"/>
    <d v="2024-03-07T00:00:00"/>
    <s v="Electronics"/>
    <s v="Samsung QLED 4K TV"/>
    <n v="1"/>
    <n v="1199.99"/>
    <n v="1199.99"/>
    <s v="North America"/>
    <s v="Credit Card"/>
    <n v="1199.99"/>
    <x v="2"/>
    <x v="0"/>
  </r>
  <r>
    <n v="10068"/>
    <d v="2024-03-08T00:00:00"/>
    <s v="Home Appliances"/>
    <s v="Eufy RoboVac 11S"/>
    <n v="3"/>
    <n v="219.99"/>
    <n v="659.97"/>
    <s v="Europe"/>
    <s v="PayPal"/>
    <n v="659.97"/>
    <x v="2"/>
    <x v="0"/>
  </r>
  <r>
    <n v="10069"/>
    <d v="2024-03-09T00:00:00"/>
    <s v="Clothing"/>
    <s v="Puma Suede Classic Sneakers"/>
    <n v="4"/>
    <n v="59.99"/>
    <n v="239.96"/>
    <s v="Asia"/>
    <s v="Debit Card"/>
    <n v="239.96"/>
    <x v="2"/>
    <x v="0"/>
  </r>
  <r>
    <n v="10070"/>
    <d v="2024-03-10T00:00:00"/>
    <s v="Books"/>
    <s v="The Great Gatsby by F. Scott Fitzgerald"/>
    <n v="2"/>
    <n v="10.99"/>
    <n v="21.98"/>
    <s v="North America"/>
    <s v="Credit Card"/>
    <n v="21.98"/>
    <x v="2"/>
    <x v="0"/>
  </r>
  <r>
    <n v="10071"/>
    <d v="2024-03-11T00:00:00"/>
    <s v="Beauty Products"/>
    <s v="Drunk Elephant C-Firma Day Serum"/>
    <n v="1"/>
    <n v="78"/>
    <n v="78"/>
    <s v="Europe"/>
    <s v="PayPal"/>
    <n v="78"/>
    <x v="2"/>
    <x v="0"/>
  </r>
  <r>
    <n v="10072"/>
    <d v="2024-03-12T00:00:00"/>
    <s v="Sports"/>
    <s v="Nike Metcon 6"/>
    <n v="3"/>
    <n v="129.99"/>
    <n v="389.97"/>
    <s v="Asia"/>
    <s v="Credit Card"/>
    <n v="389.97"/>
    <x v="2"/>
    <x v="0"/>
  </r>
  <r>
    <n v="10073"/>
    <d v="2024-03-13T00:00:00"/>
    <s v="Electronics"/>
    <s v="HP Spectre x360 Laptop"/>
    <n v="1"/>
    <n v="1599.99"/>
    <n v="1599.99"/>
    <s v="North America"/>
    <s v="Credit Card"/>
    <n v="1599.99"/>
    <x v="2"/>
    <x v="0"/>
  </r>
  <r>
    <n v="10074"/>
    <d v="2024-03-14T00:00:00"/>
    <s v="Home Appliances"/>
    <s v="De'Longhi Magnifica Espresso Machine"/>
    <n v="1"/>
    <n v="899.99"/>
    <n v="899.99"/>
    <s v="Europe"/>
    <s v="PayPal"/>
    <n v="899.99"/>
    <x v="2"/>
    <x v="0"/>
  </r>
  <r>
    <n v="10075"/>
    <d v="2024-03-15T00:00:00"/>
    <s v="Clothing"/>
    <s v="Tommy Hilfiger Polo Shirt"/>
    <n v="5"/>
    <n v="49.99"/>
    <n v="249.95"/>
    <s v="Asia"/>
    <s v="Debit Card"/>
    <n v="249.95000000000002"/>
    <x v="2"/>
    <x v="0"/>
  </r>
  <r>
    <n v="10076"/>
    <d v="2024-03-16T00:00:00"/>
    <s v="Books"/>
    <s v="To Kill a Mockingbird by Harper Lee"/>
    <n v="4"/>
    <n v="14.99"/>
    <n v="59.96"/>
    <s v="North America"/>
    <s v="Credit Card"/>
    <n v="59.96"/>
    <x v="2"/>
    <x v="0"/>
  </r>
  <r>
    <n v="10077"/>
    <d v="2024-03-17T00:00:00"/>
    <s v="Beauty Products"/>
    <s v="Glossier Boy Brow"/>
    <n v="2"/>
    <n v="16"/>
    <n v="32"/>
    <s v="Europe"/>
    <s v="PayPal"/>
    <n v="32"/>
    <x v="2"/>
    <x v="0"/>
  </r>
  <r>
    <n v="10078"/>
    <d v="2024-03-18T00:00:00"/>
    <s v="Sports"/>
    <s v="Rogue Fitness Kettlebell"/>
    <n v="3"/>
    <n v="69.989999999999995"/>
    <n v="209.97"/>
    <s v="Asia"/>
    <s v="Credit Card"/>
    <n v="209.96999999999997"/>
    <x v="2"/>
    <x v="0"/>
  </r>
  <r>
    <n v="10079"/>
    <d v="2024-03-19T00:00:00"/>
    <s v="Electronics"/>
    <s v="Apple AirPods Pro"/>
    <n v="2"/>
    <n v="249.99"/>
    <n v="499.98"/>
    <s v="North America"/>
    <s v="Credit Card"/>
    <n v="499.98"/>
    <x v="2"/>
    <x v="0"/>
  </r>
  <r>
    <n v="10080"/>
    <d v="2024-03-20T00:00:00"/>
    <s v="Home Appliances"/>
    <s v="Dyson Pure Cool Link"/>
    <n v="1"/>
    <n v="499.99"/>
    <n v="499.99"/>
    <s v="Europe"/>
    <s v="PayPal"/>
    <n v="499.99"/>
    <x v="2"/>
    <x v="0"/>
  </r>
  <r>
    <n v="10081"/>
    <d v="2024-03-21T00:00:00"/>
    <s v="Clothing"/>
    <s v="Levi's Trucker Jacket"/>
    <n v="2"/>
    <n v="89.99"/>
    <n v="179.98"/>
    <s v="Asia"/>
    <s v="Debit Card"/>
    <n v="179.98"/>
    <x v="2"/>
    <x v="0"/>
  </r>
  <r>
    <n v="10082"/>
    <d v="2024-03-22T00:00:00"/>
    <s v="Books"/>
    <s v="The Hobbit by J.R.R. Tolkien"/>
    <n v="3"/>
    <n v="12.99"/>
    <n v="38.97"/>
    <s v="North America"/>
    <s v="Credit Card"/>
    <n v="38.97"/>
    <x v="2"/>
    <x v="0"/>
  </r>
  <r>
    <n v="10083"/>
    <d v="2024-03-23T00:00:00"/>
    <s v="Beauty Products"/>
    <s v="Charlotte Tilbury Magic Cream"/>
    <n v="1"/>
    <n v="100"/>
    <n v="100"/>
    <s v="Europe"/>
    <s v="PayPal"/>
    <n v="100"/>
    <x v="2"/>
    <x v="0"/>
  </r>
  <r>
    <n v="10084"/>
    <d v="2024-03-24T00:00:00"/>
    <s v="Sports"/>
    <s v="Spalding NBA Street Basketball"/>
    <n v="6"/>
    <n v="24.99"/>
    <n v="149.94"/>
    <s v="Asia"/>
    <s v="Credit Card"/>
    <n v="149.94"/>
    <x v="2"/>
    <x v="0"/>
  </r>
  <r>
    <n v="10085"/>
    <d v="2024-03-25T00:00:00"/>
    <s v="Electronics"/>
    <s v="Ring Video Doorbell"/>
    <n v="1"/>
    <n v="99.99"/>
    <n v="99.99"/>
    <s v="North America"/>
    <s v="Credit Card"/>
    <n v="99.99"/>
    <x v="2"/>
    <x v="0"/>
  </r>
  <r>
    <n v="10086"/>
    <d v="2024-03-26T00:00:00"/>
    <s v="Home Appliances"/>
    <s v="LG OLED TV"/>
    <n v="2"/>
    <n v="1299.99"/>
    <n v="2599.98"/>
    <s v="Europe"/>
    <s v="PayPal"/>
    <n v="2599.98"/>
    <x v="2"/>
    <x v="0"/>
  </r>
  <r>
    <n v="10087"/>
    <d v="2024-03-27T00:00:00"/>
    <s v="Clothing"/>
    <s v="Uniqlo Ultra Light Down Jacket"/>
    <n v="3"/>
    <n v="79.989999999999995"/>
    <n v="239.97"/>
    <s v="Asia"/>
    <s v="Debit Card"/>
    <n v="239.96999999999997"/>
    <x v="2"/>
    <x v="0"/>
  </r>
  <r>
    <n v="10088"/>
    <d v="2024-03-28T00:00:00"/>
    <s v="Books"/>
    <s v="The Catcher in the Rye by J.D. Salinger"/>
    <n v="4"/>
    <n v="13.99"/>
    <n v="55.96"/>
    <s v="North America"/>
    <s v="Credit Card"/>
    <n v="55.96"/>
    <x v="2"/>
    <x v="0"/>
  </r>
  <r>
    <n v="10089"/>
    <d v="2024-03-29T00:00:00"/>
    <s v="Beauty Products"/>
    <s v="Sunday Riley Good Genes"/>
    <n v="1"/>
    <n v="105"/>
    <n v="105"/>
    <s v="Europe"/>
    <s v="PayPal"/>
    <n v="105"/>
    <x v="2"/>
    <x v="0"/>
  </r>
  <r>
    <n v="10090"/>
    <d v="2024-03-30T00:00:00"/>
    <s v="Sports"/>
    <s v="On Running Cloud Shoes"/>
    <n v="2"/>
    <n v="129.99"/>
    <n v="259.98"/>
    <s v="Asia"/>
    <s v="Credit Card"/>
    <n v="259.98"/>
    <x v="2"/>
    <x v="0"/>
  </r>
  <r>
    <n v="10091"/>
    <d v="2024-03-31T00:00:00"/>
    <s v="Electronics"/>
    <s v="Logitech MX Master 3 Mouse"/>
    <n v="2"/>
    <n v="99.99"/>
    <n v="199.98"/>
    <s v="North America"/>
    <s v="Credit Card"/>
    <n v="199.98"/>
    <x v="2"/>
    <x v="0"/>
  </r>
  <r>
    <n v="10092"/>
    <d v="2024-04-01T00:00:00"/>
    <s v="Home Appliances"/>
    <s v="Instant Pot Duo Crisp"/>
    <n v="1"/>
    <n v="179.99"/>
    <n v="179.99"/>
    <s v="Europe"/>
    <s v="PayPal"/>
    <n v="179.99"/>
    <x v="3"/>
    <x v="0"/>
  </r>
  <r>
    <n v="10093"/>
    <d v="2024-04-02T00:00:00"/>
    <s v="Clothing"/>
    <s v="Adidas Originals Superstar Sneakers"/>
    <n v="4"/>
    <n v="79.989999999999995"/>
    <n v="319.95999999999998"/>
    <s v="Asia"/>
    <s v="Debit Card"/>
    <n v="319.95999999999998"/>
    <x v="3"/>
    <x v="0"/>
  </r>
  <r>
    <n v="10094"/>
    <d v="2024-04-03T00:00:00"/>
    <s v="Books"/>
    <s v="The Alchemist by Paulo Coelho"/>
    <n v="3"/>
    <n v="14.99"/>
    <n v="44.97"/>
    <s v="North America"/>
    <s v="Credit Card"/>
    <n v="44.97"/>
    <x v="3"/>
    <x v="0"/>
  </r>
  <r>
    <n v="10095"/>
    <d v="2024-04-04T00:00:00"/>
    <s v="Beauty Products"/>
    <s v="Tatcha The Water Cream"/>
    <n v="1"/>
    <n v="68"/>
    <n v="68"/>
    <s v="Europe"/>
    <s v="PayPal"/>
    <n v="68"/>
    <x v="3"/>
    <x v="0"/>
  </r>
  <r>
    <n v="10096"/>
    <d v="2024-04-05T00:00:00"/>
    <s v="Sports"/>
    <s v="Garmin Fenix 6X Pro"/>
    <n v="1"/>
    <n v="999.99"/>
    <n v="999.99"/>
    <s v="Asia"/>
    <s v="Credit Card"/>
    <n v="999.99"/>
    <x v="3"/>
    <x v="0"/>
  </r>
  <r>
    <n v="10097"/>
    <d v="2024-04-06T00:00:00"/>
    <s v="Electronics"/>
    <s v="Bose SoundLink Revolve+ Speaker"/>
    <n v="3"/>
    <n v="299.99"/>
    <n v="899.97"/>
    <s v="North America"/>
    <s v="Credit Card"/>
    <n v="899.97"/>
    <x v="3"/>
    <x v="0"/>
  </r>
  <r>
    <n v="10098"/>
    <d v="2024-04-07T00:00:00"/>
    <s v="Home Appliances"/>
    <s v="Vitamix Explorian Blender"/>
    <n v="1"/>
    <n v="349.99"/>
    <n v="349.99"/>
    <s v="Europe"/>
    <s v="PayPal"/>
    <n v="349.99"/>
    <x v="3"/>
    <x v="0"/>
  </r>
  <r>
    <n v="10099"/>
    <d v="2024-04-08T00:00:00"/>
    <s v="Clothing"/>
    <s v="Gap Essential Crewneck T-Shirt"/>
    <n v="6"/>
    <n v="19.989999999999998"/>
    <n v="119.94"/>
    <s v="Asia"/>
    <s v="Debit Card"/>
    <n v="119.94"/>
    <x v="3"/>
    <x v="0"/>
  </r>
  <r>
    <n v="10100"/>
    <d v="2024-04-09T00:00:00"/>
    <s v="Books"/>
    <s v="The Power of Now by Eckhart Tolle"/>
    <n v="2"/>
    <n v="12.99"/>
    <n v="25.98"/>
    <s v="North America"/>
    <s v="Credit Card"/>
    <n v="25.98"/>
    <x v="3"/>
    <x v="0"/>
  </r>
  <r>
    <n v="10101"/>
    <d v="2024-04-10T00:00:00"/>
    <s v="Beauty Products"/>
    <s v="Kiehl's Midnight Recovery Concentrate"/>
    <n v="1"/>
    <n v="82"/>
    <n v="82"/>
    <s v="Europe"/>
    <s v="PayPal"/>
    <n v="82"/>
    <x v="3"/>
    <x v="0"/>
  </r>
  <r>
    <n v="10102"/>
    <d v="2024-04-11T00:00:00"/>
    <s v="Sports"/>
    <s v="Under Armour HOVR Sonic 4 Shoes"/>
    <n v="2"/>
    <n v="109.99"/>
    <n v="219.98"/>
    <s v="Asia"/>
    <s v="Credit Card"/>
    <n v="219.98"/>
    <x v="3"/>
    <x v="0"/>
  </r>
  <r>
    <n v="10103"/>
    <d v="2024-04-12T00:00:00"/>
    <s v="Electronics"/>
    <s v="Canon EOS R5 Camera"/>
    <n v="1"/>
    <n v="3899.99"/>
    <n v="3899.99"/>
    <s v="North America"/>
    <s v="Credit Card"/>
    <n v="3899.99"/>
    <x v="3"/>
    <x v="0"/>
  </r>
  <r>
    <n v="10104"/>
    <d v="2024-04-13T00:00:00"/>
    <s v="Home Appliances"/>
    <s v="Shark IQ Robot Vacuum"/>
    <n v="2"/>
    <n v="349.99"/>
    <n v="699.98"/>
    <s v="Europe"/>
    <s v="PayPal"/>
    <n v="699.98"/>
    <x v="3"/>
    <x v="0"/>
  </r>
  <r>
    <n v="10105"/>
    <d v="2024-04-14T00:00:00"/>
    <s v="Clothing"/>
    <s v="H&amp;M Slim Fit Jeans"/>
    <n v="3"/>
    <n v="39.99"/>
    <n v="119.97"/>
    <s v="Asia"/>
    <s v="Debit Card"/>
    <n v="119.97"/>
    <x v="3"/>
    <x v="0"/>
  </r>
  <r>
    <n v="10106"/>
    <d v="2024-04-15T00:00:00"/>
    <s v="Books"/>
    <s v="The Girl on the Train by Paula Hawkins"/>
    <n v="4"/>
    <n v="10.99"/>
    <n v="43.96"/>
    <s v="North America"/>
    <s v="Credit Card"/>
    <n v="43.96"/>
    <x v="3"/>
    <x v="0"/>
  </r>
  <r>
    <n v="10107"/>
    <d v="2024-04-16T00:00:00"/>
    <s v="Beauty Products"/>
    <s v="The Ordinary Niacinamide Serum"/>
    <n v="1"/>
    <n v="6.5"/>
    <n v="6.5"/>
    <s v="Europe"/>
    <s v="PayPal"/>
    <n v="6.5"/>
    <x v="3"/>
    <x v="0"/>
  </r>
  <r>
    <n v="10108"/>
    <d v="2024-04-17T00:00:00"/>
    <s v="Sports"/>
    <s v="Bowflex SelectTech 552 Dumbbells"/>
    <n v="1"/>
    <n v="399.99"/>
    <n v="399.99"/>
    <s v="Asia"/>
    <s v="Credit Card"/>
    <n v="399.99"/>
    <x v="3"/>
    <x v="0"/>
  </r>
  <r>
    <n v="10109"/>
    <d v="2024-04-18T00:00:00"/>
    <s v="Electronics"/>
    <s v="Google Nest Hub Max"/>
    <n v="2"/>
    <n v="229.99"/>
    <n v="459.98"/>
    <s v="North America"/>
    <s v="Credit Card"/>
    <n v="459.98"/>
    <x v="3"/>
    <x v="0"/>
  </r>
  <r>
    <n v="10110"/>
    <d v="2024-04-19T00:00:00"/>
    <s v="Home Appliances"/>
    <s v="Cuisinart Griddler Deluxe"/>
    <n v="1"/>
    <n v="159.99"/>
    <n v="159.99"/>
    <s v="Europe"/>
    <s v="PayPal"/>
    <n v="159.99"/>
    <x v="3"/>
    <x v="0"/>
  </r>
  <r>
    <n v="10111"/>
    <d v="2024-04-20T00:00:00"/>
    <s v="Clothing"/>
    <s v="Old Navy Relaxed-Fit T-Shirt"/>
    <n v="4"/>
    <n v="14.99"/>
    <n v="59.96"/>
    <s v="Asia"/>
    <s v="Debit Card"/>
    <n v="59.96"/>
    <x v="3"/>
    <x v="0"/>
  </r>
  <r>
    <n v="10112"/>
    <d v="2024-04-21T00:00:00"/>
    <s v="Books"/>
    <s v="Sapiens: A Brief History of Humankind by Yuval Noah Harari"/>
    <n v="2"/>
    <n v="18.989999999999998"/>
    <n v="37.979999999999997"/>
    <s v="North America"/>
    <s v="Credit Card"/>
    <n v="37.979999999999997"/>
    <x v="3"/>
    <x v="0"/>
  </r>
  <r>
    <n v="10113"/>
    <d v="2024-04-22T00:00:00"/>
    <s v="Beauty Products"/>
    <s v="Biore UV Aqua Rich Watery Essence Sunscreen"/>
    <n v="1"/>
    <n v="15"/>
    <n v="15"/>
    <s v="Europe"/>
    <s v="PayPal"/>
    <n v="15"/>
    <x v="3"/>
    <x v="0"/>
  </r>
  <r>
    <n v="10114"/>
    <d v="2024-04-23T00:00:00"/>
    <s v="Sports"/>
    <s v="Fitbit Versa 3"/>
    <n v="3"/>
    <n v="229.95"/>
    <n v="689.85"/>
    <s v="Asia"/>
    <s v="Credit Card"/>
    <n v="689.84999999999991"/>
    <x v="3"/>
    <x v="0"/>
  </r>
  <r>
    <n v="10115"/>
    <d v="2024-04-24T00:00:00"/>
    <s v="Electronics"/>
    <s v="Amazon Echo Show 10"/>
    <n v="1"/>
    <n v="249.99"/>
    <n v="249.99"/>
    <s v="North America"/>
    <s v="Credit Card"/>
    <n v="249.99"/>
    <x v="3"/>
    <x v="0"/>
  </r>
  <r>
    <n v="10116"/>
    <d v="2024-04-25T00:00:00"/>
    <s v="Home Appliances"/>
    <s v="Breville Smart Grill"/>
    <n v="2"/>
    <n v="299.95"/>
    <n v="599.9"/>
    <s v="Europe"/>
    <s v="PayPal"/>
    <n v="599.9"/>
    <x v="3"/>
    <x v="0"/>
  </r>
  <r>
    <n v="10117"/>
    <d v="2024-04-26T00:00:00"/>
    <s v="Clothing"/>
    <s v="Gap High Rise Skinny Jeans"/>
    <n v="3"/>
    <n v="49.99"/>
    <n v="149.97"/>
    <s v="Asia"/>
    <s v="Debit Card"/>
    <n v="149.97"/>
    <x v="3"/>
    <x v="0"/>
  </r>
  <r>
    <n v="10118"/>
    <d v="2024-04-27T00:00:00"/>
    <s v="Books"/>
    <s v="Atomic Habits by James Clear"/>
    <n v="4"/>
    <n v="16.989999999999998"/>
    <n v="67.959999999999994"/>
    <s v="North America"/>
    <s v="Credit Card"/>
    <n v="67.959999999999994"/>
    <x v="3"/>
    <x v="0"/>
  </r>
  <r>
    <n v="10119"/>
    <d v="2024-04-28T00:00:00"/>
    <s v="Beauty Products"/>
    <s v="CeraVe Hydrating Facial Cleanser"/>
    <n v="2"/>
    <n v="14.99"/>
    <n v="29.98"/>
    <s v="Europe"/>
    <s v="PayPal"/>
    <n v="29.98"/>
    <x v="3"/>
    <x v="0"/>
  </r>
  <r>
    <n v="10120"/>
    <d v="2024-04-29T00:00:00"/>
    <s v="Sports"/>
    <s v="YETI Hopper Flip Portable Cooler"/>
    <n v="1"/>
    <n v="249.99"/>
    <n v="249.99"/>
    <s v="Asia"/>
    <s v="Credit Card"/>
    <n v="249.99"/>
    <x v="3"/>
    <x v="0"/>
  </r>
  <r>
    <n v="10121"/>
    <d v="2024-04-30T00:00:00"/>
    <s v="Electronics"/>
    <s v="Apple iPad Air"/>
    <n v="2"/>
    <n v="599.99"/>
    <n v="1199.98"/>
    <s v="North America"/>
    <s v="Credit Card"/>
    <n v="1199.98"/>
    <x v="3"/>
    <x v="0"/>
  </r>
  <r>
    <n v="10122"/>
    <d v="2024-05-01T00:00:00"/>
    <s v="Home Appliances"/>
    <s v="Hamilton Beach FlexBrew Coffee Maker"/>
    <n v="1"/>
    <n v="89.99"/>
    <n v="89.99"/>
    <s v="Europe"/>
    <s v="PayPal"/>
    <n v="89.99"/>
    <x v="4"/>
    <x v="0"/>
  </r>
  <r>
    <n v="10123"/>
    <d v="2024-05-02T00:00:00"/>
    <s v="Clothing"/>
    <s v="Forever 21 Graphic Tee"/>
    <n v="5"/>
    <n v="12.99"/>
    <n v="64.95"/>
    <s v="Asia"/>
    <s v="Debit Card"/>
    <n v="64.95"/>
    <x v="4"/>
    <x v="0"/>
  </r>
  <r>
    <n v="10124"/>
    <d v="2024-05-03T00:00:00"/>
    <s v="Books"/>
    <s v="The Subtle Art of Not Giving a F*ck by Mark Manson"/>
    <n v="3"/>
    <n v="14.99"/>
    <n v="44.97"/>
    <s v="North America"/>
    <s v="Credit Card"/>
    <n v="44.97"/>
    <x v="4"/>
    <x v="0"/>
  </r>
  <r>
    <n v="10125"/>
    <d v="2024-05-04T00:00:00"/>
    <s v="Beauty Products"/>
    <s v="NARS Radiant Creamy Concealer"/>
    <n v="1"/>
    <n v="30"/>
    <n v="30"/>
    <s v="Europe"/>
    <s v="PayPal"/>
    <n v="30"/>
    <x v="4"/>
    <x v="0"/>
  </r>
  <r>
    <n v="10126"/>
    <d v="2024-05-05T00:00:00"/>
    <s v="Sports"/>
    <s v="Yeti Roadie 24 Cooler"/>
    <n v="1"/>
    <n v="199.99"/>
    <n v="199.99"/>
    <s v="Asia"/>
    <s v="Credit Card"/>
    <n v="199.99"/>
    <x v="4"/>
    <x v="0"/>
  </r>
  <r>
    <n v="10127"/>
    <d v="2024-05-06T00:00:00"/>
    <s v="Electronics"/>
    <s v="Sony PlayStation 5"/>
    <n v="1"/>
    <n v="499.99"/>
    <n v="499.99"/>
    <s v="North America"/>
    <s v="Credit Card"/>
    <n v="499.99"/>
    <x v="4"/>
    <x v="0"/>
  </r>
  <r>
    <n v="10128"/>
    <d v="2024-05-07T00:00:00"/>
    <s v="Home Appliances"/>
    <s v="Dyson Supersonic Hair Dryer"/>
    <n v="2"/>
    <n v="399.99"/>
    <n v="799.98"/>
    <s v="Europe"/>
    <s v="PayPal"/>
    <n v="799.98"/>
    <x v="4"/>
    <x v="0"/>
  </r>
  <r>
    <n v="10129"/>
    <d v="2024-05-08T00:00:00"/>
    <s v="Clothing"/>
    <s v="Lululemon Align Leggings"/>
    <n v="3"/>
    <n v="98"/>
    <n v="294"/>
    <s v="Asia"/>
    <s v="Debit Card"/>
    <n v="294"/>
    <x v="4"/>
    <x v="0"/>
  </r>
  <r>
    <n v="10130"/>
    <d v="2024-05-09T00:00:00"/>
    <s v="Books"/>
    <s v="The Four Agreements by Don Miguel Ruiz"/>
    <n v="2"/>
    <n v="8.99"/>
    <n v="17.98"/>
    <s v="North America"/>
    <s v="Credit Card"/>
    <n v="17.98"/>
    <x v="4"/>
    <x v="0"/>
  </r>
  <r>
    <n v="10131"/>
    <d v="2024-05-10T00:00:00"/>
    <s v="Beauty Products"/>
    <s v="Fenty Beauty Killawatt Highlighter"/>
    <n v="1"/>
    <n v="36"/>
    <n v="36"/>
    <s v="Europe"/>
    <s v="PayPal"/>
    <n v="36"/>
    <x v="4"/>
    <x v="0"/>
  </r>
  <r>
    <n v="10132"/>
    <d v="2024-05-11T00:00:00"/>
    <s v="Sports"/>
    <s v="Hydro Flask Wide Mouth Water Bottle"/>
    <n v="4"/>
    <n v="39.950000000000003"/>
    <n v="159.80000000000001"/>
    <s v="Asia"/>
    <s v="Credit Card"/>
    <n v="159.80000000000001"/>
    <x v="4"/>
    <x v="0"/>
  </r>
  <r>
    <n v="10133"/>
    <d v="2024-05-12T00:00:00"/>
    <s v="Electronics"/>
    <s v="Microsoft Surface Laptop 4"/>
    <n v="1"/>
    <n v="1299.99"/>
    <n v="1299.99"/>
    <s v="North America"/>
    <s v="Credit Card"/>
    <n v="1299.99"/>
    <x v="4"/>
    <x v="0"/>
  </r>
  <r>
    <n v="10134"/>
    <d v="2024-05-13T00:00:00"/>
    <s v="Home Appliances"/>
    <s v="Keurig K-Mini Coffee Maker"/>
    <n v="2"/>
    <n v="79.989999999999995"/>
    <n v="159.97999999999999"/>
    <s v="Europe"/>
    <s v="PayPal"/>
    <n v="159.97999999999999"/>
    <x v="4"/>
    <x v="0"/>
  </r>
  <r>
    <n v="10135"/>
    <d v="2024-05-14T00:00:00"/>
    <s v="Clothing"/>
    <s v="Gap Crewneck Sweatshirt"/>
    <n v="4"/>
    <n v="34.99"/>
    <n v="139.96"/>
    <s v="Asia"/>
    <s v="Debit Card"/>
    <n v="139.96"/>
    <x v="4"/>
    <x v="0"/>
  </r>
  <r>
    <n v="10136"/>
    <d v="2024-05-15T00:00:00"/>
    <s v="Books"/>
    <s v="Think and Grow Rich by Napoleon Hill"/>
    <n v="3"/>
    <n v="9.99"/>
    <n v="29.97"/>
    <s v="North America"/>
    <s v="Credit Card"/>
    <n v="29.97"/>
    <x v="4"/>
    <x v="0"/>
  </r>
  <r>
    <n v="10137"/>
    <d v="2024-05-16T00:00:00"/>
    <s v="Beauty Products"/>
    <s v="The Ordinary Hyaluronic Acid Serum"/>
    <n v="1"/>
    <n v="6.8"/>
    <n v="6.8"/>
    <s v="Europe"/>
    <s v="PayPal"/>
    <n v="6.8"/>
    <x v="4"/>
    <x v="0"/>
  </r>
  <r>
    <n v="10138"/>
    <d v="2024-05-17T00:00:00"/>
    <s v="Sports"/>
    <s v="Fitbit Inspire 2"/>
    <n v="2"/>
    <n v="99.95"/>
    <n v="199.9"/>
    <s v="Asia"/>
    <s v="Credit Card"/>
    <n v="199.9"/>
    <x v="4"/>
    <x v="0"/>
  </r>
  <r>
    <n v="10139"/>
    <d v="2024-05-18T00:00:00"/>
    <s v="Electronics"/>
    <s v="Samsung Odyssey G9 Gaming Monitor"/>
    <n v="1"/>
    <n v="1499.99"/>
    <n v="1499.99"/>
    <s v="North America"/>
    <s v="Credit Card"/>
    <n v="1499.99"/>
    <x v="4"/>
    <x v="0"/>
  </r>
  <r>
    <n v="10140"/>
    <d v="2024-05-19T00:00:00"/>
    <s v="Home Appliances"/>
    <s v="Instant Pot Ultra"/>
    <n v="1"/>
    <n v="139.99"/>
    <n v="139.99"/>
    <s v="Europe"/>
    <s v="PayPal"/>
    <n v="139.99"/>
    <x v="4"/>
    <x v="0"/>
  </r>
  <r>
    <n v="10141"/>
    <d v="2024-05-20T00:00:00"/>
    <s v="Clothing"/>
    <s v="Adidas Essential Track Pants"/>
    <n v="3"/>
    <n v="44.99"/>
    <n v="134.97"/>
    <s v="Asia"/>
    <s v="Debit Card"/>
    <n v="134.97"/>
    <x v="4"/>
    <x v="0"/>
  </r>
  <r>
    <n v="10142"/>
    <d v="2024-05-21T00:00:00"/>
    <s v="Books"/>
    <s v="The Power of Habit by Charles Duhigg"/>
    <n v="2"/>
    <n v="11.99"/>
    <n v="23.98"/>
    <s v="North America"/>
    <s v="Credit Card"/>
    <n v="23.98"/>
    <x v="4"/>
    <x v="0"/>
  </r>
  <r>
    <n v="10143"/>
    <d v="2024-05-22T00:00:00"/>
    <s v="Beauty Products"/>
    <s v="Clinique Dramatically Different Moisturizing Lotion"/>
    <n v="1"/>
    <n v="29.5"/>
    <n v="29.5"/>
    <s v="Europe"/>
    <s v="PayPal"/>
    <n v="29.5"/>
    <x v="4"/>
    <x v="0"/>
  </r>
  <r>
    <n v="10144"/>
    <d v="2024-05-23T00:00:00"/>
    <s v="Sports"/>
    <s v="YETI Tundra 45 Cooler"/>
    <n v="1"/>
    <n v="299.99"/>
    <n v="299.99"/>
    <s v="Asia"/>
    <s v="Credit Card"/>
    <n v="299.99"/>
    <x v="4"/>
    <x v="0"/>
  </r>
  <r>
    <n v="10145"/>
    <d v="2024-05-24T00:00:00"/>
    <s v="Electronics"/>
    <s v="Apple AirPods Max"/>
    <n v="1"/>
    <n v="549"/>
    <n v="549"/>
    <s v="North America"/>
    <s v="Credit Card"/>
    <n v="549"/>
    <x v="4"/>
    <x v="0"/>
  </r>
  <r>
    <n v="10146"/>
    <d v="2024-05-25T00:00:00"/>
    <s v="Home Appliances"/>
    <s v="Cuisinart Coffee Center"/>
    <n v="2"/>
    <n v="199.95"/>
    <n v="399.9"/>
    <s v="Europe"/>
    <s v="PayPal"/>
    <n v="399.9"/>
    <x v="4"/>
    <x v="0"/>
  </r>
  <r>
    <n v="10147"/>
    <d v="2024-05-26T00:00:00"/>
    <s v="Clothing"/>
    <s v="Levi's Sherpa Trucker Jacket"/>
    <n v="2"/>
    <n v="98"/>
    <n v="196"/>
    <s v="Asia"/>
    <s v="Debit Card"/>
    <n v="196"/>
    <x v="4"/>
    <x v="0"/>
  </r>
  <r>
    <n v="10148"/>
    <d v="2024-05-27T00:00:00"/>
    <s v="Books"/>
    <s v="The Outsiders by S.E. Hinton"/>
    <n v="3"/>
    <n v="10.99"/>
    <n v="32.97"/>
    <s v="North America"/>
    <s v="Credit Card"/>
    <n v="32.97"/>
    <x v="4"/>
    <x v="0"/>
  </r>
  <r>
    <n v="10149"/>
    <d v="2024-05-28T00:00:00"/>
    <s v="Beauty Products"/>
    <s v="Laneige Water Sleeping Mask"/>
    <n v="1"/>
    <n v="25"/>
    <n v="25"/>
    <s v="Europe"/>
    <s v="PayPal"/>
    <n v="25"/>
    <x v="4"/>
    <x v="0"/>
  </r>
  <r>
    <n v="10150"/>
    <d v="2024-05-29T00:00:00"/>
    <s v="Sports"/>
    <s v="Bose SoundSport Wireless Earbuds"/>
    <n v="2"/>
    <n v="149.99"/>
    <n v="299.98"/>
    <s v="Asia"/>
    <s v="Credit Card"/>
    <n v="299.98"/>
    <x v="4"/>
    <x v="0"/>
  </r>
  <r>
    <n v="10151"/>
    <d v="2024-05-30T00:00:00"/>
    <s v="Electronics"/>
    <s v="Sony WH-1000XM4 Headphones"/>
    <n v="1"/>
    <n v="349.99"/>
    <n v="349.99"/>
    <s v="North America"/>
    <s v="Credit Card"/>
    <n v="349.99"/>
    <x v="4"/>
    <x v="0"/>
  </r>
  <r>
    <n v="10152"/>
    <d v="2024-05-31T00:00:00"/>
    <s v="Home Appliances"/>
    <s v="Ninja Foodi Pressure Cooker"/>
    <n v="2"/>
    <n v="199.99"/>
    <n v="399.98"/>
    <s v="Europe"/>
    <s v="PayPal"/>
    <n v="399.98"/>
    <x v="4"/>
    <x v="0"/>
  </r>
  <r>
    <n v="10153"/>
    <d v="2024-06-01T00:00:00"/>
    <s v="Clothing"/>
    <s v="Nike Sportswear Club Fleece Hoodie"/>
    <n v="3"/>
    <n v="54.99"/>
    <n v="164.97"/>
    <s v="Asia"/>
    <s v="Debit Card"/>
    <n v="164.97"/>
    <x v="5"/>
    <x v="0"/>
  </r>
  <r>
    <n v="10154"/>
    <d v="2024-06-02T00:00:00"/>
    <s v="Books"/>
    <s v="The Night Circus by Erin Morgenstern"/>
    <n v="2"/>
    <n v="16.989999999999998"/>
    <n v="33.979999999999997"/>
    <s v="North America"/>
    <s v="Credit Card"/>
    <n v="33.979999999999997"/>
    <x v="5"/>
    <x v="0"/>
  </r>
  <r>
    <n v="10155"/>
    <d v="2024-06-03T00:00:00"/>
    <s v="Beauty Products"/>
    <s v="GlamGlow Supermud Clearing Treatment"/>
    <n v="1"/>
    <n v="59"/>
    <n v="59"/>
    <s v="Europe"/>
    <s v="PayPal"/>
    <n v="59"/>
    <x v="5"/>
    <x v="0"/>
  </r>
  <r>
    <n v="10156"/>
    <d v="2024-06-04T00:00:00"/>
    <s v="Sports"/>
    <s v="Garmin Forerunner 245"/>
    <n v="1"/>
    <n v="299.99"/>
    <n v="299.99"/>
    <s v="Asia"/>
    <s v="Credit Card"/>
    <n v="299.99"/>
    <x v="5"/>
    <x v="0"/>
  </r>
  <r>
    <n v="10157"/>
    <d v="2024-06-05T00:00:00"/>
    <s v="Electronics"/>
    <s v="Google Pixel 6 Pro"/>
    <n v="1"/>
    <n v="899.99"/>
    <n v="899.99"/>
    <s v="North America"/>
    <s v="Credit Card"/>
    <n v="899.99"/>
    <x v="5"/>
    <x v="0"/>
  </r>
  <r>
    <n v="10158"/>
    <d v="2024-06-06T00:00:00"/>
    <s v="Home Appliances"/>
    <s v="Breville Nespresso Creatista Plus"/>
    <n v="1"/>
    <n v="499.95"/>
    <n v="499.95"/>
    <s v="Europe"/>
    <s v="PayPal"/>
    <n v="499.95"/>
    <x v="5"/>
    <x v="0"/>
  </r>
  <r>
    <n v="10159"/>
    <d v="2024-06-07T00:00:00"/>
    <s v="Clothing"/>
    <s v="Under Armour Tech 2.0 T-Shirt"/>
    <n v="4"/>
    <n v="24.99"/>
    <n v="99.96"/>
    <s v="Asia"/>
    <s v="Debit Card"/>
    <n v="99.96"/>
    <x v="5"/>
    <x v="0"/>
  </r>
  <r>
    <n v="10160"/>
    <d v="2024-06-08T00:00:00"/>
    <s v="Books"/>
    <s v="The Art of War by Sun Tzu"/>
    <n v="3"/>
    <n v="7.99"/>
    <n v="23.97"/>
    <s v="North America"/>
    <s v="Credit Card"/>
    <n v="23.97"/>
    <x v="5"/>
    <x v="0"/>
  </r>
  <r>
    <n v="10161"/>
    <d v="2024-06-09T00:00:00"/>
    <s v="Beauty Products"/>
    <s v="Youth to the People Superfood Antioxidant Cleanser"/>
    <n v="1"/>
    <n v="36"/>
    <n v="36"/>
    <s v="Europe"/>
    <s v="PayPal"/>
    <n v="36"/>
    <x v="5"/>
    <x v="0"/>
  </r>
  <r>
    <n v="10162"/>
    <d v="2024-06-10T00:00:00"/>
    <s v="Sports"/>
    <s v="TriggerPoint GRID Foam Roller"/>
    <n v="2"/>
    <n v="34.99"/>
    <n v="69.98"/>
    <s v="Asia"/>
    <s v="Credit Card"/>
    <n v="69.98"/>
    <x v="5"/>
    <x v="0"/>
  </r>
  <r>
    <n v="10163"/>
    <d v="2024-06-11T00:00:00"/>
    <s v="Electronics"/>
    <s v="Apple MacBook Air"/>
    <n v="1"/>
    <n v="1199.99"/>
    <n v="1199.99"/>
    <s v="North America"/>
    <s v="Credit Card"/>
    <n v="1199.99"/>
    <x v="5"/>
    <x v="0"/>
  </r>
  <r>
    <n v="10164"/>
    <d v="2024-06-12T00:00:00"/>
    <s v="Home Appliances"/>
    <s v="Cuisinart Custom 14-Cup Food Processor"/>
    <n v="1"/>
    <n v="199.99"/>
    <n v="199.99"/>
    <s v="Europe"/>
    <s v="PayPal"/>
    <n v="199.99"/>
    <x v="5"/>
    <x v="0"/>
  </r>
  <r>
    <n v="10165"/>
    <d v="2024-06-13T00:00:00"/>
    <s v="Clothing"/>
    <s v="Adidas 3-Stripes Shorts"/>
    <n v="5"/>
    <n v="29.99"/>
    <n v="149.94999999999999"/>
    <s v="Asia"/>
    <s v="Debit Card"/>
    <n v="149.94999999999999"/>
    <x v="5"/>
    <x v="0"/>
  </r>
  <r>
    <n v="10166"/>
    <d v="2024-06-14T00:00:00"/>
    <s v="Books"/>
    <s v="The Hunger Games by Suzanne Collins"/>
    <n v="4"/>
    <n v="8.99"/>
    <n v="35.96"/>
    <s v="North America"/>
    <s v="Credit Card"/>
    <n v="35.96"/>
    <x v="5"/>
    <x v="0"/>
  </r>
  <r>
    <n v="10167"/>
    <d v="2024-06-15T00:00:00"/>
    <s v="Beauty Products"/>
    <s v="Neutrogena Hydro Boost Water Gel"/>
    <n v="1"/>
    <n v="16.989999999999998"/>
    <n v="16.989999999999998"/>
    <s v="Europe"/>
    <s v="PayPal"/>
    <n v="16.989999999999998"/>
    <x v="5"/>
    <x v="0"/>
  </r>
  <r>
    <n v="10168"/>
    <d v="2024-06-16T00:00:00"/>
    <s v="Sports"/>
    <s v="Yeti Rambler Bottle"/>
    <n v="3"/>
    <n v="49.99"/>
    <n v="149.97"/>
    <s v="Asia"/>
    <s v="Credit Card"/>
    <n v="149.97"/>
    <x v="5"/>
    <x v="0"/>
  </r>
  <r>
    <n v="10169"/>
    <d v="2024-06-17T00:00:00"/>
    <s v="Electronics"/>
    <s v="Samsung Odyssey G7 Gaming Monitor"/>
    <n v="1"/>
    <n v="699.99"/>
    <n v="699.99"/>
    <s v="North America"/>
    <s v="Credit Card"/>
    <n v="699.99"/>
    <x v="5"/>
    <x v="0"/>
  </r>
  <r>
    <n v="10170"/>
    <d v="2024-06-18T00:00:00"/>
    <s v="Home Appliances"/>
    <s v="Instant Pot Duo Evo Plus"/>
    <n v="2"/>
    <n v="139.99"/>
    <n v="279.98"/>
    <s v="Europe"/>
    <s v="PayPal"/>
    <n v="279.98"/>
    <x v="5"/>
    <x v="0"/>
  </r>
  <r>
    <n v="10171"/>
    <d v="2024-06-19T00:00:00"/>
    <s v="Clothing"/>
    <s v="Nike Tempo Running Shorts"/>
    <n v="3"/>
    <n v="34.99"/>
    <n v="104.97"/>
    <s v="Asia"/>
    <s v="Debit Card"/>
    <n v="104.97"/>
    <x v="5"/>
    <x v="0"/>
  </r>
  <r>
    <n v="10172"/>
    <d v="2024-06-20T00:00:00"/>
    <s v="Books"/>
    <s v="The Girl with the Dragon Tattoo by Stieg Larsson"/>
    <n v="2"/>
    <n v="9.99"/>
    <n v="19.98"/>
    <s v="North America"/>
    <s v="Credit Card"/>
    <n v="19.98"/>
    <x v="5"/>
    <x v="0"/>
  </r>
  <r>
    <n v="10173"/>
    <d v="2024-06-21T00:00:00"/>
    <s v="Beauty Products"/>
    <s v="Paula's Choice Skin Perfecting 2% BHA Liquid Exfoliant"/>
    <n v="1"/>
    <n v="29.5"/>
    <n v="29.5"/>
    <s v="Europe"/>
    <s v="PayPal"/>
    <n v="29.5"/>
    <x v="5"/>
    <x v="0"/>
  </r>
  <r>
    <n v="10174"/>
    <d v="2024-06-22T00:00:00"/>
    <s v="Sports"/>
    <s v="Bowflex SelectTech 1090 Adjustable Dumbbells"/>
    <n v="1"/>
    <n v="699.99"/>
    <n v="699.99"/>
    <s v="Asia"/>
    <s v="Credit Card"/>
    <n v="699.99"/>
    <x v="5"/>
    <x v="0"/>
  </r>
  <r>
    <n v="10175"/>
    <d v="2024-06-23T00:00:00"/>
    <s v="Electronics"/>
    <s v="Amazon Fire TV Stick 4K"/>
    <n v="3"/>
    <n v="49.99"/>
    <n v="149.97"/>
    <s v="North America"/>
    <s v="Credit Card"/>
    <n v="149.97"/>
    <x v="5"/>
    <x v="0"/>
  </r>
  <r>
    <n v="10176"/>
    <d v="2024-06-24T00:00:00"/>
    <s v="Home Appliances"/>
    <s v="Crock-Pot 6-Quart Slow Cooker"/>
    <n v="2"/>
    <n v="49.99"/>
    <n v="99.98"/>
    <s v="Europe"/>
    <s v="PayPal"/>
    <n v="99.98"/>
    <x v="5"/>
    <x v="0"/>
  </r>
  <r>
    <n v="10177"/>
    <d v="2024-06-25T00:00:00"/>
    <s v="Clothing"/>
    <s v="Uniqlo Airism Mesh Boxer Briefs"/>
    <n v="4"/>
    <n v="14.9"/>
    <n v="59.6"/>
    <s v="Asia"/>
    <s v="Debit Card"/>
    <n v="59.6"/>
    <x v="5"/>
    <x v="0"/>
  </r>
  <r>
    <n v="10178"/>
    <d v="2024-06-26T00:00:00"/>
    <s v="Books"/>
    <s v="The Sun Also Rises by Ernest Hemingway"/>
    <n v="3"/>
    <n v="11.99"/>
    <n v="35.97"/>
    <s v="North America"/>
    <s v="Credit Card"/>
    <n v="35.97"/>
    <x v="5"/>
    <x v="0"/>
  </r>
  <r>
    <n v="10179"/>
    <d v="2024-06-27T00:00:00"/>
    <s v="Beauty Products"/>
    <s v="First Aid Beauty Ultra Repair Cream"/>
    <n v="2"/>
    <n v="34"/>
    <n v="68"/>
    <s v="Europe"/>
    <s v="PayPal"/>
    <n v="68"/>
    <x v="5"/>
    <x v="0"/>
  </r>
  <r>
    <n v="10180"/>
    <d v="2024-06-28T00:00:00"/>
    <s v="Sports"/>
    <s v="Oakley Holbrook Sunglasses"/>
    <n v="1"/>
    <n v="146"/>
    <n v="146"/>
    <s v="Asia"/>
    <s v="Credit Card"/>
    <n v="146"/>
    <x v="5"/>
    <x v="0"/>
  </r>
  <r>
    <n v="10181"/>
    <d v="2024-06-29T00:00:00"/>
    <s v="Electronics"/>
    <s v="Google Pixelbook Go"/>
    <n v="1"/>
    <n v="649.99"/>
    <n v="649.99"/>
    <s v="North America"/>
    <s v="Credit Card"/>
    <n v="649.99"/>
    <x v="5"/>
    <x v="0"/>
  </r>
  <r>
    <n v="10182"/>
    <d v="2024-06-30T00:00:00"/>
    <s v="Home Appliances"/>
    <s v="Dyson V8 Absolute"/>
    <n v="1"/>
    <n v="399.99"/>
    <n v="399.99"/>
    <s v="Europe"/>
    <s v="PayPal"/>
    <n v="399.99"/>
    <x v="5"/>
    <x v="0"/>
  </r>
  <r>
    <n v="10183"/>
    <d v="2024-07-01T00:00:00"/>
    <s v="Clothing"/>
    <s v="Levi's 511 Slim Fit Jeans"/>
    <n v="3"/>
    <n v="59.99"/>
    <n v="179.97"/>
    <s v="Asia"/>
    <s v="Debit Card"/>
    <n v="179.97"/>
    <x v="6"/>
    <x v="0"/>
  </r>
  <r>
    <n v="10184"/>
    <d v="2024-07-02T00:00:00"/>
    <s v="Books"/>
    <s v="The Martian by Andy Weir"/>
    <n v="2"/>
    <n v="12.99"/>
    <n v="25.98"/>
    <s v="North America"/>
    <s v="Credit Card"/>
    <n v="25.98"/>
    <x v="6"/>
    <x v="0"/>
  </r>
  <r>
    <n v="10185"/>
    <d v="2024-07-03T00:00:00"/>
    <s v="Beauty Products"/>
    <s v="La Mer Crème de la Mer Moisturizer"/>
    <n v="1"/>
    <n v="190"/>
    <n v="190"/>
    <s v="Europe"/>
    <s v="PayPal"/>
    <n v="190"/>
    <x v="6"/>
    <x v="0"/>
  </r>
  <r>
    <n v="10186"/>
    <d v="2024-07-04T00:00:00"/>
    <s v="Sports"/>
    <s v="Polar Vantage V2"/>
    <n v="1"/>
    <n v="499.95"/>
    <n v="499.95"/>
    <s v="Asia"/>
    <s v="Credit Card"/>
    <n v="499.95"/>
    <x v="6"/>
    <x v="0"/>
  </r>
  <r>
    <n v="10187"/>
    <d v="2024-07-05T00:00:00"/>
    <s v="Electronics"/>
    <s v="Sonos Beam Soundbar"/>
    <n v="1"/>
    <n v="399"/>
    <n v="399"/>
    <s v="North America"/>
    <s v="Credit Card"/>
    <n v="399"/>
    <x v="6"/>
    <x v="0"/>
  </r>
  <r>
    <n v="10188"/>
    <d v="2024-07-06T00:00:00"/>
    <s v="Home Appliances"/>
    <s v="Anova Precision Cooker"/>
    <n v="2"/>
    <n v="199"/>
    <n v="398"/>
    <s v="Europe"/>
    <s v="PayPal"/>
    <n v="398"/>
    <x v="6"/>
    <x v="0"/>
  </r>
  <r>
    <n v="10189"/>
    <d v="2024-07-07T00:00:00"/>
    <s v="Clothing"/>
    <s v="Nike Dri-FIT Training Shorts"/>
    <n v="4"/>
    <n v="34.99"/>
    <n v="139.96"/>
    <s v="Asia"/>
    <s v="Debit Card"/>
    <n v="139.96"/>
    <x v="6"/>
    <x v="0"/>
  </r>
  <r>
    <n v="10190"/>
    <d v="2024-07-08T00:00:00"/>
    <s v="Books"/>
    <s v="The Catcher in the Rye by J.D. Salinger"/>
    <n v="3"/>
    <n v="10.99"/>
    <n v="32.97"/>
    <s v="North America"/>
    <s v="Credit Card"/>
    <n v="32.97"/>
    <x v="6"/>
    <x v="0"/>
  </r>
  <r>
    <n v="10191"/>
    <d v="2024-07-09T00:00:00"/>
    <s v="Beauty Products"/>
    <s v="Glossier Cloud Paint"/>
    <n v="1"/>
    <n v="18"/>
    <n v="18"/>
    <s v="Europe"/>
    <s v="PayPal"/>
    <n v="18"/>
    <x v="6"/>
    <x v="0"/>
  </r>
  <r>
    <n v="10192"/>
    <d v="2024-07-10T00:00:00"/>
    <s v="Sports"/>
    <s v="TRX All-in-One Suspension Training System"/>
    <n v="1"/>
    <n v="169.95"/>
    <n v="169.95"/>
    <s v="Asia"/>
    <s v="Credit Card"/>
    <n v="169.95"/>
    <x v="6"/>
    <x v="0"/>
  </r>
  <r>
    <n v="10193"/>
    <d v="2024-07-11T00:00:00"/>
    <s v="Electronics"/>
    <s v="Logitech G Pro X Wireless Gaming Headset"/>
    <n v="1"/>
    <n v="199.99"/>
    <n v="199.99"/>
    <s v="North America"/>
    <s v="Credit Card"/>
    <n v="199.99"/>
    <x v="6"/>
    <x v="0"/>
  </r>
  <r>
    <n v="10194"/>
    <d v="2024-07-12T00:00:00"/>
    <s v="Home Appliances"/>
    <s v="Breville Smart Coffee Grinder Pro"/>
    <n v="1"/>
    <n v="199.95"/>
    <n v="199.95"/>
    <s v="Europe"/>
    <s v="PayPal"/>
    <n v="199.95"/>
    <x v="6"/>
    <x v="0"/>
  </r>
  <r>
    <n v="10195"/>
    <d v="2024-07-13T00:00:00"/>
    <s v="Clothing"/>
    <s v="Adidas Ultraboost Running Shoes"/>
    <n v="2"/>
    <n v="179.99"/>
    <n v="359.98"/>
    <s v="Asia"/>
    <s v="Debit Card"/>
    <n v="359.98"/>
    <x v="6"/>
    <x v="0"/>
  </r>
  <r>
    <n v="10196"/>
    <d v="2024-07-14T00:00:00"/>
    <s v="Books"/>
    <s v="The Road by Cormac McCarthy"/>
    <n v="2"/>
    <n v="11.99"/>
    <n v="23.98"/>
    <s v="North America"/>
    <s v="Credit Card"/>
    <n v="23.98"/>
    <x v="6"/>
    <x v="0"/>
  </r>
  <r>
    <n v="10197"/>
    <d v="2024-07-15T00:00:00"/>
    <s v="Beauty Products"/>
    <s v="Tom Ford Black Orchid Perfume"/>
    <n v="1"/>
    <n v="125"/>
    <n v="125"/>
    <s v="Europe"/>
    <s v="PayPal"/>
    <n v="125"/>
    <x v="6"/>
    <x v="0"/>
  </r>
  <r>
    <n v="10198"/>
    <d v="2024-07-16T00:00:00"/>
    <s v="Sports"/>
    <s v="GoPro HERO9 Black"/>
    <n v="1"/>
    <n v="449.99"/>
    <n v="449.99"/>
    <s v="Asia"/>
    <s v="Credit Card"/>
    <n v="449.99"/>
    <x v="6"/>
    <x v="0"/>
  </r>
  <r>
    <n v="10199"/>
    <d v="2024-07-17T00:00:00"/>
    <s v="Electronics"/>
    <s v="Apple TV 4K"/>
    <n v="2"/>
    <n v="179"/>
    <n v="358"/>
    <s v="North America"/>
    <s v="Credit Card"/>
    <n v="358"/>
    <x v="6"/>
    <x v="0"/>
  </r>
  <r>
    <n v="10200"/>
    <d v="2024-07-18T00:00:00"/>
    <s v="Home Appliances"/>
    <s v="Instant Pot Duo Nova"/>
    <n v="1"/>
    <n v="99.95"/>
    <n v="99.95"/>
    <s v="Europe"/>
    <s v="PayPal"/>
    <n v="99.95"/>
    <x v="6"/>
    <x v="0"/>
  </r>
  <r>
    <n v="10201"/>
    <d v="2024-07-19T00:00:00"/>
    <s v="Clothing"/>
    <s v="Gap 1969 Original Fit Jeans"/>
    <n v="3"/>
    <n v="59.99"/>
    <n v="179.97"/>
    <s v="Asia"/>
    <s v="Debit Card"/>
    <n v="179.97"/>
    <x v="6"/>
    <x v="0"/>
  </r>
  <r>
    <n v="10202"/>
    <d v="2024-07-20T00:00:00"/>
    <s v="Books"/>
    <s v="The Goldfinch by Donna Tartt"/>
    <n v="2"/>
    <n v="14.99"/>
    <n v="29.98"/>
    <s v="North America"/>
    <s v="Credit Card"/>
    <n v="29.98"/>
    <x v="6"/>
    <x v="0"/>
  </r>
  <r>
    <n v="10203"/>
    <d v="2024-07-21T00:00:00"/>
    <s v="Beauty Products"/>
    <s v="Dr. Jart+ Cicapair Tiger Grass Color Correcting Treatment"/>
    <n v="1"/>
    <n v="52"/>
    <n v="52"/>
    <s v="Europe"/>
    <s v="PayPal"/>
    <n v="52"/>
    <x v="6"/>
    <x v="0"/>
  </r>
  <r>
    <n v="10204"/>
    <d v="2024-07-22T00:00:00"/>
    <s v="Sports"/>
    <s v="Yeti Tundra Haul Portable Wheeled Cooler"/>
    <n v="1"/>
    <n v="399.99"/>
    <n v="399.99"/>
    <s v="Asia"/>
    <s v="Credit Card"/>
    <n v="399.99"/>
    <x v="6"/>
    <x v="0"/>
  </r>
  <r>
    <n v="10205"/>
    <d v="2024-07-23T00:00:00"/>
    <s v="Electronics"/>
    <s v="Samsung Galaxy Watch 4"/>
    <n v="1"/>
    <n v="299.99"/>
    <n v="299.99"/>
    <s v="North America"/>
    <s v="Credit Card"/>
    <n v="299.99"/>
    <x v="6"/>
    <x v="0"/>
  </r>
  <r>
    <n v="10206"/>
    <d v="2024-07-24T00:00:00"/>
    <s v="Home Appliances"/>
    <s v="KitchenAid Stand Mixer"/>
    <n v="1"/>
    <n v="379.99"/>
    <n v="379.99"/>
    <s v="Europe"/>
    <s v="PayPal"/>
    <n v="379.99"/>
    <x v="6"/>
    <x v="0"/>
  </r>
  <r>
    <n v="10207"/>
    <d v="2024-07-25T00:00:00"/>
    <s v="Clothing"/>
    <s v="Lululemon Wunder Under High-Rise Leggings"/>
    <n v="2"/>
    <n v="98"/>
    <n v="196"/>
    <s v="Asia"/>
    <s v="Debit Card"/>
    <n v="196"/>
    <x v="6"/>
    <x v="0"/>
  </r>
  <r>
    <n v="10208"/>
    <d v="2024-07-26T00:00:00"/>
    <s v="Books"/>
    <s v="The Great Alone by Kristin Hannah"/>
    <n v="3"/>
    <n v="16.989999999999998"/>
    <n v="50.97"/>
    <s v="North America"/>
    <s v="Credit Card"/>
    <n v="50.97"/>
    <x v="6"/>
    <x v="0"/>
  </r>
  <r>
    <n v="10209"/>
    <d v="2024-07-27T00:00:00"/>
    <s v="Beauty Products"/>
    <s v="Caudalie Vinoperfect Radiance Serum"/>
    <n v="1"/>
    <n v="79"/>
    <n v="79"/>
    <s v="Europe"/>
    <s v="PayPal"/>
    <n v="79"/>
    <x v="6"/>
    <x v="0"/>
  </r>
  <r>
    <n v="10210"/>
    <d v="2024-07-28T00:00:00"/>
    <s v="Sports"/>
    <s v="Bose SoundLink Color Bluetooth Speaker II"/>
    <n v="1"/>
    <n v="129"/>
    <n v="129"/>
    <s v="Asia"/>
    <s v="Credit Card"/>
    <n v="129"/>
    <x v="6"/>
    <x v="0"/>
  </r>
  <r>
    <n v="10211"/>
    <d v="2024-07-29T00:00:00"/>
    <s v="Electronics"/>
    <s v="Canon EOS Rebel T7i DSLR Camera"/>
    <n v="1"/>
    <n v="749.99"/>
    <n v="749.99"/>
    <s v="North America"/>
    <s v="Credit Card"/>
    <n v="749.99"/>
    <x v="6"/>
    <x v="0"/>
  </r>
  <r>
    <n v="10212"/>
    <d v="2024-07-30T00:00:00"/>
    <s v="Home Appliances"/>
    <s v="Keurig K-Elite Coffee Maker"/>
    <n v="2"/>
    <n v="169.99"/>
    <n v="339.98"/>
    <s v="Europe"/>
    <s v="PayPal"/>
    <n v="339.98"/>
    <x v="6"/>
    <x v="0"/>
  </r>
  <r>
    <n v="10213"/>
    <d v="2024-07-31T00:00:00"/>
    <s v="Clothing"/>
    <s v="Uniqlo Airism Seamless Boxer Briefs"/>
    <n v="4"/>
    <n v="9.9"/>
    <n v="39.6"/>
    <s v="Asia"/>
    <s v="Debit Card"/>
    <n v="39.6"/>
    <x v="6"/>
    <x v="0"/>
  </r>
  <r>
    <n v="10214"/>
    <d v="2024-08-01T00:00:00"/>
    <s v="Books"/>
    <s v="The Girl with the Dragon Tattoo by Stieg Larsson"/>
    <n v="3"/>
    <n v="10.99"/>
    <n v="32.97"/>
    <s v="North America"/>
    <s v="Credit Card"/>
    <n v="32.97"/>
    <x v="7"/>
    <x v="0"/>
  </r>
  <r>
    <n v="10215"/>
    <d v="2024-08-02T00:00:00"/>
    <s v="Beauty Products"/>
    <s v="L'Occitane Shea Butter Hand Cream"/>
    <n v="2"/>
    <n v="29"/>
    <n v="58"/>
    <s v="Europe"/>
    <s v="PayPal"/>
    <n v="58"/>
    <x v="7"/>
    <x v="0"/>
  </r>
  <r>
    <n v="10216"/>
    <d v="2024-08-03T00:00:00"/>
    <s v="Sports"/>
    <s v="YETI Tundra 65 Cooler"/>
    <n v="1"/>
    <n v="349.99"/>
    <n v="349.99"/>
    <s v="Asia"/>
    <s v="Credit Card"/>
    <n v="349.99"/>
    <x v="7"/>
    <x v="0"/>
  </r>
  <r>
    <n v="10217"/>
    <d v="2024-08-04T00:00:00"/>
    <s v="Electronics"/>
    <s v="Apple MacBook Pro 16-inch"/>
    <n v="1"/>
    <n v="2399"/>
    <n v="2399"/>
    <s v="North America"/>
    <s v="Credit Card"/>
    <n v="2399"/>
    <x v="7"/>
    <x v="0"/>
  </r>
  <r>
    <n v="10218"/>
    <d v="2024-08-05T00:00:00"/>
    <s v="Home Appliances"/>
    <s v="iRobot Braava Jet M6"/>
    <n v="1"/>
    <n v="449.99"/>
    <n v="449.99"/>
    <s v="Europe"/>
    <s v="PayPal"/>
    <n v="449.99"/>
    <x v="7"/>
    <x v="0"/>
  </r>
  <r>
    <n v="10219"/>
    <d v="2024-08-06T00:00:00"/>
    <s v="Clothing"/>
    <s v="Champion Reverse Weave Hoodie"/>
    <n v="3"/>
    <n v="49.99"/>
    <n v="149.97"/>
    <s v="Asia"/>
    <s v="Debit Card"/>
    <n v="149.97"/>
    <x v="7"/>
    <x v="0"/>
  </r>
  <r>
    <n v="10220"/>
    <d v="2024-08-07T00:00:00"/>
    <s v="Books"/>
    <s v="The Nightingale by Kristin Hannah"/>
    <n v="2"/>
    <n v="12.99"/>
    <n v="25.98"/>
    <s v="North America"/>
    <s v="Credit Card"/>
    <n v="25.98"/>
    <x v="7"/>
    <x v="0"/>
  </r>
  <r>
    <n v="10221"/>
    <d v="2024-08-08T00:00:00"/>
    <s v="Beauty Products"/>
    <s v="Tarte Shape Tape Concealer"/>
    <n v="1"/>
    <n v="27"/>
    <n v="27"/>
    <s v="Europe"/>
    <s v="PayPal"/>
    <n v="27"/>
    <x v="7"/>
    <x v="0"/>
  </r>
  <r>
    <n v="10222"/>
    <d v="2024-08-09T00:00:00"/>
    <s v="Sports"/>
    <s v="Garmin Forerunner 945"/>
    <n v="1"/>
    <n v="599.99"/>
    <n v="599.99"/>
    <s v="Asia"/>
    <s v="Credit Card"/>
    <n v="599.99"/>
    <x v="7"/>
    <x v="0"/>
  </r>
  <r>
    <n v="10223"/>
    <d v="2024-08-10T00:00:00"/>
    <s v="Electronics"/>
    <s v="Amazon Echo Dot (4th Gen)"/>
    <n v="4"/>
    <n v="49.99"/>
    <n v="199.96"/>
    <s v="North America"/>
    <s v="Credit Card"/>
    <n v="199.96"/>
    <x v="7"/>
    <x v="0"/>
  </r>
  <r>
    <n v="10224"/>
    <d v="2024-08-11T00:00:00"/>
    <s v="Home Appliances"/>
    <s v="Philips Sonicare DiamondClean Toothbrush"/>
    <n v="2"/>
    <n v="229.99"/>
    <n v="459.98"/>
    <s v="Europe"/>
    <s v="PayPal"/>
    <n v="459.98"/>
    <x v="7"/>
    <x v="0"/>
  </r>
  <r>
    <n v="10225"/>
    <d v="2024-08-12T00:00:00"/>
    <s v="Clothing"/>
    <s v="Old Navy Mid-Rise Rockstar Super Skinny Jeans"/>
    <n v="2"/>
    <n v="44.99"/>
    <n v="89.98"/>
    <s v="Asia"/>
    <s v="Debit Card"/>
    <n v="89.98"/>
    <x v="7"/>
    <x v="0"/>
  </r>
  <r>
    <n v="10226"/>
    <d v="2024-08-13T00:00:00"/>
    <s v="Books"/>
    <s v="The Silent Patient by Alex Michaelides"/>
    <n v="3"/>
    <n v="26.99"/>
    <n v="80.97"/>
    <s v="North America"/>
    <s v="Credit Card"/>
    <n v="80.97"/>
    <x v="7"/>
    <x v="0"/>
  </r>
  <r>
    <n v="10227"/>
    <d v="2024-08-14T00:00:00"/>
    <s v="Beauty Products"/>
    <s v="The Ordinary Caffeine Solution 5% + EGCG"/>
    <n v="1"/>
    <n v="6.7"/>
    <n v="6.7"/>
    <s v="Europe"/>
    <s v="PayPal"/>
    <n v="6.7"/>
    <x v="7"/>
    <x v="0"/>
  </r>
  <r>
    <n v="10228"/>
    <d v="2024-08-15T00:00:00"/>
    <s v="Sports"/>
    <s v="Fitbit Luxe"/>
    <n v="2"/>
    <n v="149.94999999999999"/>
    <n v="299.89999999999998"/>
    <s v="Asia"/>
    <s v="Credit Card"/>
    <n v="299.89999999999998"/>
    <x v="7"/>
    <x v="0"/>
  </r>
  <r>
    <n v="10229"/>
    <d v="2024-08-16T00:00:00"/>
    <s v="Electronics"/>
    <s v="Google Nest Wifi Router"/>
    <n v="1"/>
    <n v="169"/>
    <n v="169"/>
    <s v="North America"/>
    <s v="Credit Card"/>
    <n v="169"/>
    <x v="7"/>
    <x v="0"/>
  </r>
  <r>
    <n v="10230"/>
    <d v="2024-08-17T00:00:00"/>
    <s v="Home Appliances"/>
    <s v="Anova Precision Oven"/>
    <n v="1"/>
    <n v="599"/>
    <n v="599"/>
    <s v="Europe"/>
    <s v="PayPal"/>
    <n v="599"/>
    <x v="7"/>
    <x v="0"/>
  </r>
  <r>
    <n v="10231"/>
    <d v="2024-08-18T00:00:00"/>
    <s v="Clothing"/>
    <s v="Adidas Originals Trefoil Hoodie"/>
    <n v="4"/>
    <n v="64.989999999999995"/>
    <n v="259.95999999999998"/>
    <s v="Asia"/>
    <s v="Debit Card"/>
    <n v="259.95999999999998"/>
    <x v="7"/>
    <x v="0"/>
  </r>
  <r>
    <n v="10232"/>
    <d v="2024-08-19T00:00:00"/>
    <s v="Books"/>
    <s v="Dune by Frank Herbert"/>
    <n v="2"/>
    <n v="9.99"/>
    <n v="19.98"/>
    <s v="North America"/>
    <s v="Credit Card"/>
    <n v="19.98"/>
    <x v="7"/>
    <x v="0"/>
  </r>
  <r>
    <n v="10233"/>
    <d v="2024-08-20T00:00:00"/>
    <s v="Beauty Products"/>
    <s v="Fresh Sugar Lip Treatment"/>
    <n v="1"/>
    <n v="24"/>
    <n v="24"/>
    <s v="Europe"/>
    <s v="PayPal"/>
    <n v="24"/>
    <x v="7"/>
    <x v="0"/>
  </r>
  <r>
    <n v="10234"/>
    <d v="2024-08-21T00:00:00"/>
    <s v="Sports"/>
    <s v="Hydro Flask Standard Mouth Water Bottle"/>
    <n v="3"/>
    <n v="32.950000000000003"/>
    <n v="98.85"/>
    <s v="Asia"/>
    <s v="Credit Card"/>
    <n v="98.850000000000009"/>
    <x v="7"/>
    <x v="0"/>
  </r>
  <r>
    <n v="10235"/>
    <d v="2024-08-22T00:00:00"/>
    <s v="Electronics"/>
    <s v="Bose QuietComfort 35 II Wireless Headphones"/>
    <n v="1"/>
    <n v="299"/>
    <n v="299"/>
    <s v="North America"/>
    <s v="Credit Card"/>
    <n v="299"/>
    <x v="7"/>
    <x v="0"/>
  </r>
  <r>
    <n v="10236"/>
    <d v="2024-08-23T00:00:00"/>
    <s v="Home Appliances"/>
    <s v="Nespresso Vertuo Next Coffee and Espresso Maker"/>
    <n v="1"/>
    <n v="159.99"/>
    <n v="159.99"/>
    <s v="Europe"/>
    <s v="PayPal"/>
    <n v="159.99"/>
    <x v="7"/>
    <x v="0"/>
  </r>
  <r>
    <n v="10237"/>
    <d v="2024-08-24T00:00:00"/>
    <s v="Clothing"/>
    <s v="Nike Air Force 1 Sneakers"/>
    <n v="3"/>
    <n v="90"/>
    <n v="270"/>
    <s v="Asia"/>
    <s v="Debit Card"/>
    <n v="270"/>
    <x v="7"/>
    <x v="0"/>
  </r>
  <r>
    <n v="10238"/>
    <d v="2024-08-25T00:00:00"/>
    <s v="Books"/>
    <s v="The Handmaid's Tale by Margaret Atwood"/>
    <n v="3"/>
    <n v="10.99"/>
    <n v="32.97"/>
    <s v="North America"/>
    <s v="Credit Card"/>
    <n v="32.97"/>
    <x v="7"/>
    <x v="0"/>
  </r>
  <r>
    <n v="10239"/>
    <d v="2024-08-26T00:00:00"/>
    <s v="Beauty Products"/>
    <s v="Sunday Riley Luna Sleeping Night Oil"/>
    <n v="1"/>
    <n v="55"/>
    <n v="55"/>
    <s v="Europe"/>
    <s v="PayPal"/>
    <n v="55"/>
    <x v="7"/>
    <x v="0"/>
  </r>
  <r>
    <n v="10240"/>
    <d v="2024-08-27T00:00:00"/>
    <s v="Sports"/>
    <s v="Yeti Rambler 20 oz Tumbler"/>
    <n v="2"/>
    <n v="29.99"/>
    <n v="59.98"/>
    <s v="Asia"/>
    <s v="Credit Card"/>
    <n v="59.98"/>
    <x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604C6-F758-4997-B4FA-9EC5A734703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2">
        <item x="0"/>
        <item t="default"/>
      </items>
    </pivotField>
  </pivotFields>
  <rowFields count="2">
    <field x="11"/>
    <field x="10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971540-5945-4031-B34B-222519E8B9D7}" autoFormatId="16" applyNumberFormats="0" applyBorderFormats="0" applyFontFormats="0" applyPatternFormats="0" applyAlignmentFormats="0" applyWidthHeightFormats="0">
  <queryTableRefresh nextId="17" unboundColumnsRight="4">
    <queryTableFields count="13">
      <queryTableField id="1" name="Transaction ID" tableColumnId="1"/>
      <queryTableField id="2" name="Date" tableColumnId="2"/>
      <queryTableField id="3" name="Product Category" tableColumnId="3"/>
      <queryTableField id="4" name="Product Name" tableColumnId="4"/>
      <queryTableField id="5" name="Units Sold" tableColumnId="5"/>
      <queryTableField id="6" name="Unit Price" tableColumnId="6"/>
      <queryTableField id="7" name="Total Revenue" tableColumnId="7"/>
      <queryTableField id="8" name="Region" tableColumnId="8"/>
      <queryTableField id="9" name="Payment Method" tableColumnId="9"/>
      <queryTableField id="10" dataBound="0" tableColumnId="10"/>
      <queryTableField id="11" dataBound="0" tableColumnId="11"/>
      <queryTableField id="13" dataBound="0" tableColumnId="13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C22FD-858C-4CAD-A6CB-9C2F2EABA4E6}" name="Online_Sales_Data" displayName="Online_Sales_Data" ref="A1:M245" tableType="queryTable" totalsRowShown="0">
  <autoFilter ref="A1:M245" xr:uid="{446C22FD-858C-4CAD-A6CB-9C2F2EABA4E6}"/>
  <tableColumns count="13">
    <tableColumn id="1" xr3:uid="{BC4B9FAF-83B5-4DCF-9F58-91A4458D324F}" uniqueName="1" name="Transaction ID" queryTableFieldId="1"/>
    <tableColumn id="2" xr3:uid="{2BE1DC99-E374-4AD5-9322-EE22FF68CB5F}" uniqueName="2" name="Date" queryTableFieldId="2" dataDxfId="8"/>
    <tableColumn id="3" xr3:uid="{065FDC6A-BDD6-4B9F-93D1-63CC04E1E9B0}" uniqueName="3" name="Product Category" queryTableFieldId="3" dataDxfId="7"/>
    <tableColumn id="4" xr3:uid="{5C53186E-CBD0-42DB-8A50-C08C3D2855D0}" uniqueName="4" name="Product Name" queryTableFieldId="4" dataDxfId="6"/>
    <tableColumn id="5" xr3:uid="{B56314F6-604A-42DD-BDA9-0DE19885B694}" uniqueName="5" name="Units Sold" queryTableFieldId="5"/>
    <tableColumn id="6" xr3:uid="{5038F31F-4546-4582-9191-475B90E983B1}" uniqueName="6" name="Unit Price" queryTableFieldId="6"/>
    <tableColumn id="7" xr3:uid="{400914B2-0EB9-464A-ABFB-548595DB6DD1}" uniqueName="7" name="Total Revenue" queryTableFieldId="7"/>
    <tableColumn id="8" xr3:uid="{0CCE0908-C1AE-429B-B744-A9DCF83BC3A7}" uniqueName="8" name="Region" queryTableFieldId="8" dataDxfId="5"/>
    <tableColumn id="9" xr3:uid="{14C147CD-AB0C-4745-889E-6C474C4E0C54}" uniqueName="9" name="Payment Method" queryTableFieldId="9" dataDxfId="4"/>
    <tableColumn id="10" xr3:uid="{C8E5F7A4-982E-4AFF-9F7C-6643BCC82832}" uniqueName="10" name="Total Sales" queryTableFieldId="10" dataDxfId="3">
      <calculatedColumnFormula>Online_Sales_Data[[#This Row],[Units Sold]]*Online_Sales_Data[[#This Row],[Unit Price]]</calculatedColumnFormula>
    </tableColumn>
    <tableColumn id="11" xr3:uid="{13D81D75-F333-4651-A4BE-D9F828F56336}" uniqueName="11" name="Month" queryTableFieldId="11" dataDxfId="2">
      <calculatedColumnFormula>MONTH(Online_Sales_Data[[#This Row],[Date]])</calculatedColumnFormula>
    </tableColumn>
    <tableColumn id="13" xr3:uid="{DB075EA7-3CD1-4069-8AE0-B42274E0464C}" uniqueName="13" name="Year" queryTableFieldId="13" dataDxfId="1">
      <calculatedColumnFormula>YEAR(Online_Sales_Data[[#This Row],[Date]])</calculatedColumnFormula>
    </tableColumn>
    <tableColumn id="15" xr3:uid="{EE438DC0-7194-464C-91BB-7D4C8706CBFD}" uniqueName="15" name="Moving Avg" queryTableFieldId="15" dataDxfId="0">
      <calculatedColumnFormula>AVERAGE(K2:K4)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E0CB-E7BC-42F7-8C75-3ED6329FEB0C}">
  <dimension ref="A3:B13"/>
  <sheetViews>
    <sheetView workbookViewId="0">
      <selection activeCell="B23" sqref="B23"/>
    </sheetView>
  </sheetViews>
  <sheetFormatPr defaultRowHeight="15" x14ac:dyDescent="0.25"/>
  <cols>
    <col min="1" max="1" width="13.42578125" bestFit="1" customWidth="1"/>
    <col min="2" max="2" width="17.7109375" bestFit="1" customWidth="1"/>
  </cols>
  <sheetData>
    <row r="3" spans="1:2" x14ac:dyDescent="0.25">
      <c r="A3" s="3" t="s">
        <v>256</v>
      </c>
      <c r="B3" t="s">
        <v>258</v>
      </c>
    </row>
    <row r="4" spans="1:2" x14ac:dyDescent="0.25">
      <c r="A4" s="4">
        <v>2024</v>
      </c>
      <c r="B4" s="2">
        <v>80567.849999999977</v>
      </c>
    </row>
    <row r="5" spans="1:2" x14ac:dyDescent="0.25">
      <c r="A5" s="5">
        <v>1</v>
      </c>
      <c r="B5" s="2">
        <v>14548.319999999991</v>
      </c>
    </row>
    <row r="6" spans="1:2" x14ac:dyDescent="0.25">
      <c r="A6" s="5">
        <v>2</v>
      </c>
      <c r="B6" s="2">
        <v>10803.369999999999</v>
      </c>
    </row>
    <row r="7" spans="1:2" x14ac:dyDescent="0.25">
      <c r="A7" s="5">
        <v>3</v>
      </c>
      <c r="B7" s="2">
        <v>12849.239999999996</v>
      </c>
    </row>
    <row r="8" spans="1:2" x14ac:dyDescent="0.25">
      <c r="A8" s="5">
        <v>4</v>
      </c>
      <c r="B8" s="2">
        <v>12451.689999999995</v>
      </c>
    </row>
    <row r="9" spans="1:2" x14ac:dyDescent="0.25">
      <c r="A9" s="5">
        <v>5</v>
      </c>
      <c r="B9" s="2">
        <v>8455.49</v>
      </c>
    </row>
    <row r="10" spans="1:2" x14ac:dyDescent="0.25">
      <c r="A10" s="5">
        <v>6</v>
      </c>
      <c r="B10" s="2">
        <v>7384.5499999999984</v>
      </c>
    </row>
    <row r="11" spans="1:2" x14ac:dyDescent="0.25">
      <c r="A11" s="5">
        <v>7</v>
      </c>
      <c r="B11" s="2">
        <v>6797.08</v>
      </c>
    </row>
    <row r="12" spans="1:2" x14ac:dyDescent="0.25">
      <c r="A12" s="5">
        <v>8</v>
      </c>
      <c r="B12" s="2">
        <v>7278.1099999999988</v>
      </c>
    </row>
    <row r="13" spans="1:2" x14ac:dyDescent="0.25">
      <c r="A13" s="4" t="s">
        <v>257</v>
      </c>
      <c r="B13" s="2">
        <v>80567.849999999977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2088-F8BE-40FB-971C-90EA43AA370B}">
  <dimension ref="A1:M245"/>
  <sheetViews>
    <sheetView tabSelected="1" topLeftCell="F1" workbookViewId="0">
      <selection activeCell="X13" sqref="X13"/>
    </sheetView>
  </sheetViews>
  <sheetFormatPr defaultRowHeight="15" x14ac:dyDescent="0.25"/>
  <cols>
    <col min="1" max="1" width="16.28515625" bestFit="1" customWidth="1"/>
    <col min="2" max="2" width="9.42578125" bestFit="1" customWidth="1"/>
    <col min="3" max="3" width="19" bestFit="1" customWidth="1"/>
    <col min="4" max="4" width="54.28515625" bestFit="1" customWidth="1"/>
    <col min="5" max="5" width="12.42578125" bestFit="1" customWidth="1"/>
    <col min="6" max="6" width="12" bestFit="1" customWidth="1"/>
    <col min="7" max="7" width="16.28515625" bestFit="1" customWidth="1"/>
    <col min="8" max="8" width="13.85546875" bestFit="1" customWidth="1"/>
    <col min="9" max="9" width="18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253</v>
      </c>
      <c r="K1" t="s">
        <v>254</v>
      </c>
      <c r="L1" t="s">
        <v>255</v>
      </c>
      <c r="M1" t="s">
        <v>259</v>
      </c>
    </row>
    <row r="2" spans="1:13" x14ac:dyDescent="0.25">
      <c r="A2">
        <v>10001</v>
      </c>
      <c r="B2" s="1">
        <v>45292</v>
      </c>
      <c r="C2" s="2" t="s">
        <v>9</v>
      </c>
      <c r="D2" s="2" t="s">
        <v>10</v>
      </c>
      <c r="E2">
        <v>2</v>
      </c>
      <c r="F2">
        <v>999.99</v>
      </c>
      <c r="G2">
        <v>1999.98</v>
      </c>
      <c r="H2" s="2" t="s">
        <v>11</v>
      </c>
      <c r="I2" s="2" t="s">
        <v>12</v>
      </c>
      <c r="J2">
        <f>Online_Sales_Data[[#This Row],[Units Sold]]*Online_Sales_Data[[#This Row],[Unit Price]]</f>
        <v>1999.98</v>
      </c>
      <c r="K2" s="2">
        <f>MONTH(Online_Sales_Data[[#This Row],[Date]])</f>
        <v>1</v>
      </c>
      <c r="L2" s="2">
        <f>YEAR(Online_Sales_Data[[#This Row],[Date]])</f>
        <v>2024</v>
      </c>
      <c r="M2" s="2">
        <f t="shared" ref="M2:M65" si="0">AVERAGE(K2:K4)</f>
        <v>1</v>
      </c>
    </row>
    <row r="3" spans="1:13" x14ac:dyDescent="0.25">
      <c r="A3">
        <v>10002</v>
      </c>
      <c r="B3" s="1">
        <v>45293</v>
      </c>
      <c r="C3" s="2" t="s">
        <v>13</v>
      </c>
      <c r="D3" s="2" t="s">
        <v>14</v>
      </c>
      <c r="E3">
        <v>1</v>
      </c>
      <c r="F3">
        <v>499.99</v>
      </c>
      <c r="G3">
        <v>499.99</v>
      </c>
      <c r="H3" s="2" t="s">
        <v>15</v>
      </c>
      <c r="I3" s="2" t="s">
        <v>16</v>
      </c>
      <c r="J3">
        <f>Online_Sales_Data[[#This Row],[Units Sold]]*Online_Sales_Data[[#This Row],[Unit Price]]</f>
        <v>499.99</v>
      </c>
      <c r="K3" s="2">
        <f>MONTH(Online_Sales_Data[[#This Row],[Date]])</f>
        <v>1</v>
      </c>
      <c r="L3" s="2">
        <f>YEAR(Online_Sales_Data[[#This Row],[Date]])</f>
        <v>2024</v>
      </c>
      <c r="M3" s="2">
        <f t="shared" si="0"/>
        <v>1</v>
      </c>
    </row>
    <row r="4" spans="1:13" x14ac:dyDescent="0.25">
      <c r="A4">
        <v>10003</v>
      </c>
      <c r="B4" s="1">
        <v>45294</v>
      </c>
      <c r="C4" s="2" t="s">
        <v>17</v>
      </c>
      <c r="D4" s="2" t="s">
        <v>18</v>
      </c>
      <c r="E4">
        <v>3</v>
      </c>
      <c r="F4">
        <v>69.989999999999995</v>
      </c>
      <c r="G4">
        <v>209.97</v>
      </c>
      <c r="H4" s="2" t="s">
        <v>19</v>
      </c>
      <c r="I4" s="2" t="s">
        <v>20</v>
      </c>
      <c r="J4">
        <f>Online_Sales_Data[[#This Row],[Units Sold]]*Online_Sales_Data[[#This Row],[Unit Price]]</f>
        <v>209.96999999999997</v>
      </c>
      <c r="K4" s="2">
        <f>MONTH(Online_Sales_Data[[#This Row],[Date]])</f>
        <v>1</v>
      </c>
      <c r="L4" s="2">
        <f>YEAR(Online_Sales_Data[[#This Row],[Date]])</f>
        <v>2024</v>
      </c>
      <c r="M4" s="2">
        <f t="shared" si="0"/>
        <v>1</v>
      </c>
    </row>
    <row r="5" spans="1:13" x14ac:dyDescent="0.25">
      <c r="A5">
        <v>10004</v>
      </c>
      <c r="B5" s="1">
        <v>45295</v>
      </c>
      <c r="C5" s="2" t="s">
        <v>21</v>
      </c>
      <c r="D5" s="2" t="s">
        <v>22</v>
      </c>
      <c r="E5">
        <v>4</v>
      </c>
      <c r="F5">
        <v>15.99</v>
      </c>
      <c r="G5">
        <v>63.96</v>
      </c>
      <c r="H5" s="2" t="s">
        <v>11</v>
      </c>
      <c r="I5" s="2" t="s">
        <v>12</v>
      </c>
      <c r="J5">
        <f>Online_Sales_Data[[#This Row],[Units Sold]]*Online_Sales_Data[[#This Row],[Unit Price]]</f>
        <v>63.96</v>
      </c>
      <c r="K5" s="2">
        <f>MONTH(Online_Sales_Data[[#This Row],[Date]])</f>
        <v>1</v>
      </c>
      <c r="L5" s="2">
        <f>YEAR(Online_Sales_Data[[#This Row],[Date]])</f>
        <v>2024</v>
      </c>
      <c r="M5" s="2">
        <f t="shared" si="0"/>
        <v>1</v>
      </c>
    </row>
    <row r="6" spans="1:13" x14ac:dyDescent="0.25">
      <c r="A6">
        <v>10005</v>
      </c>
      <c r="B6" s="1">
        <v>45296</v>
      </c>
      <c r="C6" s="2" t="s">
        <v>23</v>
      </c>
      <c r="D6" s="2" t="s">
        <v>24</v>
      </c>
      <c r="E6">
        <v>1</v>
      </c>
      <c r="F6">
        <v>89.99</v>
      </c>
      <c r="G6">
        <v>89.99</v>
      </c>
      <c r="H6" s="2" t="s">
        <v>15</v>
      </c>
      <c r="I6" s="2" t="s">
        <v>16</v>
      </c>
      <c r="J6">
        <f>Online_Sales_Data[[#This Row],[Units Sold]]*Online_Sales_Data[[#This Row],[Unit Price]]</f>
        <v>89.99</v>
      </c>
      <c r="K6" s="2">
        <f>MONTH(Online_Sales_Data[[#This Row],[Date]])</f>
        <v>1</v>
      </c>
      <c r="L6" s="2">
        <f>YEAR(Online_Sales_Data[[#This Row],[Date]])</f>
        <v>2024</v>
      </c>
      <c r="M6" s="2">
        <f t="shared" si="0"/>
        <v>1</v>
      </c>
    </row>
    <row r="7" spans="1:13" x14ac:dyDescent="0.25">
      <c r="A7">
        <v>10006</v>
      </c>
      <c r="B7" s="1">
        <v>45297</v>
      </c>
      <c r="C7" s="2" t="s">
        <v>25</v>
      </c>
      <c r="D7" s="2" t="s">
        <v>26</v>
      </c>
      <c r="E7">
        <v>5</v>
      </c>
      <c r="F7">
        <v>29.99</v>
      </c>
      <c r="G7">
        <v>149.94999999999999</v>
      </c>
      <c r="H7" s="2" t="s">
        <v>19</v>
      </c>
      <c r="I7" s="2" t="s">
        <v>12</v>
      </c>
      <c r="J7">
        <f>Online_Sales_Data[[#This Row],[Units Sold]]*Online_Sales_Data[[#This Row],[Unit Price]]</f>
        <v>149.94999999999999</v>
      </c>
      <c r="K7" s="2">
        <f>MONTH(Online_Sales_Data[[#This Row],[Date]])</f>
        <v>1</v>
      </c>
      <c r="L7" s="2">
        <f>YEAR(Online_Sales_Data[[#This Row],[Date]])</f>
        <v>2024</v>
      </c>
      <c r="M7" s="2">
        <f t="shared" si="0"/>
        <v>1</v>
      </c>
    </row>
    <row r="8" spans="1:13" x14ac:dyDescent="0.25">
      <c r="A8">
        <v>10007</v>
      </c>
      <c r="B8" s="1">
        <v>45298</v>
      </c>
      <c r="C8" s="2" t="s">
        <v>9</v>
      </c>
      <c r="D8" s="2" t="s">
        <v>27</v>
      </c>
      <c r="E8">
        <v>1</v>
      </c>
      <c r="F8">
        <v>2499.9899999999998</v>
      </c>
      <c r="G8">
        <v>2499.9899999999998</v>
      </c>
      <c r="H8" s="2" t="s">
        <v>11</v>
      </c>
      <c r="I8" s="2" t="s">
        <v>12</v>
      </c>
      <c r="J8">
        <f>Online_Sales_Data[[#This Row],[Units Sold]]*Online_Sales_Data[[#This Row],[Unit Price]]</f>
        <v>2499.9899999999998</v>
      </c>
      <c r="K8" s="2">
        <f>MONTH(Online_Sales_Data[[#This Row],[Date]])</f>
        <v>1</v>
      </c>
      <c r="L8" s="2">
        <f>YEAR(Online_Sales_Data[[#This Row],[Date]])</f>
        <v>2024</v>
      </c>
      <c r="M8" s="2">
        <f t="shared" si="0"/>
        <v>1</v>
      </c>
    </row>
    <row r="9" spans="1:13" x14ac:dyDescent="0.25">
      <c r="A9">
        <v>10008</v>
      </c>
      <c r="B9" s="1">
        <v>45299</v>
      </c>
      <c r="C9" s="2" t="s">
        <v>13</v>
      </c>
      <c r="D9" s="2" t="s">
        <v>28</v>
      </c>
      <c r="E9">
        <v>2</v>
      </c>
      <c r="F9">
        <v>599.99</v>
      </c>
      <c r="G9">
        <v>1199.98</v>
      </c>
      <c r="H9" s="2" t="s">
        <v>15</v>
      </c>
      <c r="I9" s="2" t="s">
        <v>16</v>
      </c>
      <c r="J9">
        <f>Online_Sales_Data[[#This Row],[Units Sold]]*Online_Sales_Data[[#This Row],[Unit Price]]</f>
        <v>1199.98</v>
      </c>
      <c r="K9" s="2">
        <f>MONTH(Online_Sales_Data[[#This Row],[Date]])</f>
        <v>1</v>
      </c>
      <c r="L9" s="2">
        <f>YEAR(Online_Sales_Data[[#This Row],[Date]])</f>
        <v>2024</v>
      </c>
      <c r="M9" s="2">
        <f t="shared" si="0"/>
        <v>1</v>
      </c>
    </row>
    <row r="10" spans="1:13" x14ac:dyDescent="0.25">
      <c r="A10">
        <v>10009</v>
      </c>
      <c r="B10" s="1">
        <v>45300</v>
      </c>
      <c r="C10" s="2" t="s">
        <v>17</v>
      </c>
      <c r="D10" s="2" t="s">
        <v>29</v>
      </c>
      <c r="E10">
        <v>6</v>
      </c>
      <c r="F10">
        <v>89.99</v>
      </c>
      <c r="G10">
        <v>539.94000000000005</v>
      </c>
      <c r="H10" s="2" t="s">
        <v>19</v>
      </c>
      <c r="I10" s="2" t="s">
        <v>20</v>
      </c>
      <c r="J10">
        <f>Online_Sales_Data[[#This Row],[Units Sold]]*Online_Sales_Data[[#This Row],[Unit Price]]</f>
        <v>539.93999999999994</v>
      </c>
      <c r="K10" s="2">
        <f>MONTH(Online_Sales_Data[[#This Row],[Date]])</f>
        <v>1</v>
      </c>
      <c r="L10" s="2">
        <f>YEAR(Online_Sales_Data[[#This Row],[Date]])</f>
        <v>2024</v>
      </c>
      <c r="M10" s="2">
        <f t="shared" si="0"/>
        <v>1</v>
      </c>
    </row>
    <row r="11" spans="1:13" x14ac:dyDescent="0.25">
      <c r="A11">
        <v>10010</v>
      </c>
      <c r="B11" s="1">
        <v>45301</v>
      </c>
      <c r="C11" s="2" t="s">
        <v>21</v>
      </c>
      <c r="D11" s="2" t="s">
        <v>30</v>
      </c>
      <c r="E11">
        <v>2</v>
      </c>
      <c r="F11">
        <v>25.99</v>
      </c>
      <c r="G11">
        <v>51.98</v>
      </c>
      <c r="H11" s="2" t="s">
        <v>11</v>
      </c>
      <c r="I11" s="2" t="s">
        <v>12</v>
      </c>
      <c r="J11">
        <f>Online_Sales_Data[[#This Row],[Units Sold]]*Online_Sales_Data[[#This Row],[Unit Price]]</f>
        <v>51.98</v>
      </c>
      <c r="K11" s="2">
        <f>MONTH(Online_Sales_Data[[#This Row],[Date]])</f>
        <v>1</v>
      </c>
      <c r="L11" s="2">
        <f>YEAR(Online_Sales_Data[[#This Row],[Date]])</f>
        <v>2024</v>
      </c>
      <c r="M11" s="2">
        <f t="shared" si="0"/>
        <v>1</v>
      </c>
    </row>
    <row r="12" spans="1:13" x14ac:dyDescent="0.25">
      <c r="A12">
        <v>10011</v>
      </c>
      <c r="B12" s="1">
        <v>45302</v>
      </c>
      <c r="C12" s="2" t="s">
        <v>23</v>
      </c>
      <c r="D12" s="2" t="s">
        <v>31</v>
      </c>
      <c r="E12">
        <v>1</v>
      </c>
      <c r="F12">
        <v>129.99</v>
      </c>
      <c r="G12">
        <v>129.99</v>
      </c>
      <c r="H12" s="2" t="s">
        <v>15</v>
      </c>
      <c r="I12" s="2" t="s">
        <v>16</v>
      </c>
      <c r="J12">
        <f>Online_Sales_Data[[#This Row],[Units Sold]]*Online_Sales_Data[[#This Row],[Unit Price]]</f>
        <v>129.99</v>
      </c>
      <c r="K12" s="2">
        <f>MONTH(Online_Sales_Data[[#This Row],[Date]])</f>
        <v>1</v>
      </c>
      <c r="L12" s="2">
        <f>YEAR(Online_Sales_Data[[#This Row],[Date]])</f>
        <v>2024</v>
      </c>
      <c r="M12" s="2">
        <f t="shared" si="0"/>
        <v>1</v>
      </c>
    </row>
    <row r="13" spans="1:13" x14ac:dyDescent="0.25">
      <c r="A13">
        <v>10012</v>
      </c>
      <c r="B13" s="1">
        <v>45303</v>
      </c>
      <c r="C13" s="2" t="s">
        <v>25</v>
      </c>
      <c r="D13" s="2" t="s">
        <v>32</v>
      </c>
      <c r="E13">
        <v>3</v>
      </c>
      <c r="F13">
        <v>199.99</v>
      </c>
      <c r="G13">
        <v>599.97</v>
      </c>
      <c r="H13" s="2" t="s">
        <v>19</v>
      </c>
      <c r="I13" s="2" t="s">
        <v>12</v>
      </c>
      <c r="J13">
        <f>Online_Sales_Data[[#This Row],[Units Sold]]*Online_Sales_Data[[#This Row],[Unit Price]]</f>
        <v>599.97</v>
      </c>
      <c r="K13" s="2">
        <f>MONTH(Online_Sales_Data[[#This Row],[Date]])</f>
        <v>1</v>
      </c>
      <c r="L13" s="2">
        <f>YEAR(Online_Sales_Data[[#This Row],[Date]])</f>
        <v>2024</v>
      </c>
      <c r="M13" s="2">
        <f t="shared" si="0"/>
        <v>1</v>
      </c>
    </row>
    <row r="14" spans="1:13" x14ac:dyDescent="0.25">
      <c r="A14">
        <v>10013</v>
      </c>
      <c r="B14" s="1">
        <v>45304</v>
      </c>
      <c r="C14" s="2" t="s">
        <v>9</v>
      </c>
      <c r="D14" s="2" t="s">
        <v>33</v>
      </c>
      <c r="E14">
        <v>2</v>
      </c>
      <c r="F14">
        <v>749.99</v>
      </c>
      <c r="G14">
        <v>1499.98</v>
      </c>
      <c r="H14" s="2" t="s">
        <v>11</v>
      </c>
      <c r="I14" s="2" t="s">
        <v>12</v>
      </c>
      <c r="J14">
        <f>Online_Sales_Data[[#This Row],[Units Sold]]*Online_Sales_Data[[#This Row],[Unit Price]]</f>
        <v>1499.98</v>
      </c>
      <c r="K14" s="2">
        <f>MONTH(Online_Sales_Data[[#This Row],[Date]])</f>
        <v>1</v>
      </c>
      <c r="L14" s="2">
        <f>YEAR(Online_Sales_Data[[#This Row],[Date]])</f>
        <v>2024</v>
      </c>
      <c r="M14" s="2">
        <f t="shared" si="0"/>
        <v>1</v>
      </c>
    </row>
    <row r="15" spans="1:13" x14ac:dyDescent="0.25">
      <c r="A15">
        <v>10014</v>
      </c>
      <c r="B15" s="1">
        <v>45305</v>
      </c>
      <c r="C15" s="2" t="s">
        <v>13</v>
      </c>
      <c r="D15" s="2" t="s">
        <v>34</v>
      </c>
      <c r="E15">
        <v>1</v>
      </c>
      <c r="F15">
        <v>189.99</v>
      </c>
      <c r="G15">
        <v>189.99</v>
      </c>
      <c r="H15" s="2" t="s">
        <v>15</v>
      </c>
      <c r="I15" s="2" t="s">
        <v>16</v>
      </c>
      <c r="J15">
        <f>Online_Sales_Data[[#This Row],[Units Sold]]*Online_Sales_Data[[#This Row],[Unit Price]]</f>
        <v>189.99</v>
      </c>
      <c r="K15" s="2">
        <f>MONTH(Online_Sales_Data[[#This Row],[Date]])</f>
        <v>1</v>
      </c>
      <c r="L15" s="2">
        <f>YEAR(Online_Sales_Data[[#This Row],[Date]])</f>
        <v>2024</v>
      </c>
      <c r="M15" s="2">
        <f t="shared" si="0"/>
        <v>1</v>
      </c>
    </row>
    <row r="16" spans="1:13" x14ac:dyDescent="0.25">
      <c r="A16">
        <v>10015</v>
      </c>
      <c r="B16" s="1">
        <v>45306</v>
      </c>
      <c r="C16" s="2" t="s">
        <v>17</v>
      </c>
      <c r="D16" s="2" t="s">
        <v>35</v>
      </c>
      <c r="E16">
        <v>2</v>
      </c>
      <c r="F16">
        <v>249.99</v>
      </c>
      <c r="G16">
        <v>499.98</v>
      </c>
      <c r="H16" s="2" t="s">
        <v>19</v>
      </c>
      <c r="I16" s="2" t="s">
        <v>20</v>
      </c>
      <c r="J16">
        <f>Online_Sales_Data[[#This Row],[Units Sold]]*Online_Sales_Data[[#This Row],[Unit Price]]</f>
        <v>499.98</v>
      </c>
      <c r="K16" s="2">
        <f>MONTH(Online_Sales_Data[[#This Row],[Date]])</f>
        <v>1</v>
      </c>
      <c r="L16" s="2">
        <f>YEAR(Online_Sales_Data[[#This Row],[Date]])</f>
        <v>2024</v>
      </c>
      <c r="M16" s="2">
        <f t="shared" si="0"/>
        <v>1</v>
      </c>
    </row>
    <row r="17" spans="1:13" x14ac:dyDescent="0.25">
      <c r="A17">
        <v>10016</v>
      </c>
      <c r="B17" s="1">
        <v>45307</v>
      </c>
      <c r="C17" s="2" t="s">
        <v>21</v>
      </c>
      <c r="D17" s="2" t="s">
        <v>36</v>
      </c>
      <c r="E17">
        <v>3</v>
      </c>
      <c r="F17">
        <v>35.99</v>
      </c>
      <c r="G17">
        <v>107.97</v>
      </c>
      <c r="H17" s="2" t="s">
        <v>11</v>
      </c>
      <c r="I17" s="2" t="s">
        <v>12</v>
      </c>
      <c r="J17">
        <f>Online_Sales_Data[[#This Row],[Units Sold]]*Online_Sales_Data[[#This Row],[Unit Price]]</f>
        <v>107.97</v>
      </c>
      <c r="K17" s="2">
        <f>MONTH(Online_Sales_Data[[#This Row],[Date]])</f>
        <v>1</v>
      </c>
      <c r="L17" s="2">
        <f>YEAR(Online_Sales_Data[[#This Row],[Date]])</f>
        <v>2024</v>
      </c>
      <c r="M17" s="2">
        <f t="shared" si="0"/>
        <v>1</v>
      </c>
    </row>
    <row r="18" spans="1:13" x14ac:dyDescent="0.25">
      <c r="A18">
        <v>10017</v>
      </c>
      <c r="B18" s="1">
        <v>45308</v>
      </c>
      <c r="C18" s="2" t="s">
        <v>23</v>
      </c>
      <c r="D18" s="2" t="s">
        <v>37</v>
      </c>
      <c r="E18">
        <v>1</v>
      </c>
      <c r="F18">
        <v>399.99</v>
      </c>
      <c r="G18">
        <v>399.99</v>
      </c>
      <c r="H18" s="2" t="s">
        <v>15</v>
      </c>
      <c r="I18" s="2" t="s">
        <v>16</v>
      </c>
      <c r="J18">
        <f>Online_Sales_Data[[#This Row],[Units Sold]]*Online_Sales_Data[[#This Row],[Unit Price]]</f>
        <v>399.99</v>
      </c>
      <c r="K18" s="2">
        <f>MONTH(Online_Sales_Data[[#This Row],[Date]])</f>
        <v>1</v>
      </c>
      <c r="L18" s="2">
        <f>YEAR(Online_Sales_Data[[#This Row],[Date]])</f>
        <v>2024</v>
      </c>
      <c r="M18" s="2">
        <f t="shared" si="0"/>
        <v>1</v>
      </c>
    </row>
    <row r="19" spans="1:13" x14ac:dyDescent="0.25">
      <c r="A19">
        <v>10018</v>
      </c>
      <c r="B19" s="1">
        <v>45309</v>
      </c>
      <c r="C19" s="2" t="s">
        <v>25</v>
      </c>
      <c r="D19" s="2" t="s">
        <v>38</v>
      </c>
      <c r="E19">
        <v>4</v>
      </c>
      <c r="F19">
        <v>119.99</v>
      </c>
      <c r="G19">
        <v>479.96</v>
      </c>
      <c r="H19" s="2" t="s">
        <v>19</v>
      </c>
      <c r="I19" s="2" t="s">
        <v>12</v>
      </c>
      <c r="J19">
        <f>Online_Sales_Data[[#This Row],[Units Sold]]*Online_Sales_Data[[#This Row],[Unit Price]]</f>
        <v>479.96</v>
      </c>
      <c r="K19" s="2">
        <f>MONTH(Online_Sales_Data[[#This Row],[Date]])</f>
        <v>1</v>
      </c>
      <c r="L19" s="2">
        <f>YEAR(Online_Sales_Data[[#This Row],[Date]])</f>
        <v>2024</v>
      </c>
      <c r="M19" s="2">
        <f t="shared" si="0"/>
        <v>1</v>
      </c>
    </row>
    <row r="20" spans="1:13" x14ac:dyDescent="0.25">
      <c r="A20">
        <v>10019</v>
      </c>
      <c r="B20" s="1">
        <v>45310</v>
      </c>
      <c r="C20" s="2" t="s">
        <v>9</v>
      </c>
      <c r="D20" s="2" t="s">
        <v>39</v>
      </c>
      <c r="E20">
        <v>2</v>
      </c>
      <c r="F20">
        <v>499.99</v>
      </c>
      <c r="G20">
        <v>999.98</v>
      </c>
      <c r="H20" s="2" t="s">
        <v>11</v>
      </c>
      <c r="I20" s="2" t="s">
        <v>12</v>
      </c>
      <c r="J20">
        <f>Online_Sales_Data[[#This Row],[Units Sold]]*Online_Sales_Data[[#This Row],[Unit Price]]</f>
        <v>999.98</v>
      </c>
      <c r="K20" s="2">
        <f>MONTH(Online_Sales_Data[[#This Row],[Date]])</f>
        <v>1</v>
      </c>
      <c r="L20" s="2">
        <f>YEAR(Online_Sales_Data[[#This Row],[Date]])</f>
        <v>2024</v>
      </c>
      <c r="M20" s="2">
        <f t="shared" si="0"/>
        <v>1</v>
      </c>
    </row>
    <row r="21" spans="1:13" x14ac:dyDescent="0.25">
      <c r="A21">
        <v>10020</v>
      </c>
      <c r="B21" s="1">
        <v>45311</v>
      </c>
      <c r="C21" s="2" t="s">
        <v>13</v>
      </c>
      <c r="D21" s="2" t="s">
        <v>40</v>
      </c>
      <c r="E21">
        <v>1</v>
      </c>
      <c r="F21">
        <v>99.99</v>
      </c>
      <c r="G21">
        <v>99.99</v>
      </c>
      <c r="H21" s="2" t="s">
        <v>15</v>
      </c>
      <c r="I21" s="2" t="s">
        <v>16</v>
      </c>
      <c r="J21">
        <f>Online_Sales_Data[[#This Row],[Units Sold]]*Online_Sales_Data[[#This Row],[Unit Price]]</f>
        <v>99.99</v>
      </c>
      <c r="K21" s="2">
        <f>MONTH(Online_Sales_Data[[#This Row],[Date]])</f>
        <v>1</v>
      </c>
      <c r="L21" s="2">
        <f>YEAR(Online_Sales_Data[[#This Row],[Date]])</f>
        <v>2024</v>
      </c>
      <c r="M21" s="2">
        <f t="shared" si="0"/>
        <v>1</v>
      </c>
    </row>
    <row r="22" spans="1:13" x14ac:dyDescent="0.25">
      <c r="A22">
        <v>10021</v>
      </c>
      <c r="B22" s="1">
        <v>45312</v>
      </c>
      <c r="C22" s="2" t="s">
        <v>17</v>
      </c>
      <c r="D22" s="2" t="s">
        <v>41</v>
      </c>
      <c r="E22">
        <v>3</v>
      </c>
      <c r="F22">
        <v>59.99</v>
      </c>
      <c r="G22">
        <v>179.97</v>
      </c>
      <c r="H22" s="2" t="s">
        <v>19</v>
      </c>
      <c r="I22" s="2" t="s">
        <v>20</v>
      </c>
      <c r="J22">
        <f>Online_Sales_Data[[#This Row],[Units Sold]]*Online_Sales_Data[[#This Row],[Unit Price]]</f>
        <v>179.97</v>
      </c>
      <c r="K22" s="2">
        <f>MONTH(Online_Sales_Data[[#This Row],[Date]])</f>
        <v>1</v>
      </c>
      <c r="L22" s="2">
        <f>YEAR(Online_Sales_Data[[#This Row],[Date]])</f>
        <v>2024</v>
      </c>
      <c r="M22" s="2">
        <f t="shared" si="0"/>
        <v>1</v>
      </c>
    </row>
    <row r="23" spans="1:13" x14ac:dyDescent="0.25">
      <c r="A23">
        <v>10022</v>
      </c>
      <c r="B23" s="1">
        <v>45313</v>
      </c>
      <c r="C23" s="2" t="s">
        <v>21</v>
      </c>
      <c r="D23" s="2" t="s">
        <v>42</v>
      </c>
      <c r="E23">
        <v>2</v>
      </c>
      <c r="F23">
        <v>22.99</v>
      </c>
      <c r="G23">
        <v>45.98</v>
      </c>
      <c r="H23" s="2" t="s">
        <v>11</v>
      </c>
      <c r="I23" s="2" t="s">
        <v>12</v>
      </c>
      <c r="J23">
        <f>Online_Sales_Data[[#This Row],[Units Sold]]*Online_Sales_Data[[#This Row],[Unit Price]]</f>
        <v>45.98</v>
      </c>
      <c r="K23" s="2">
        <f>MONTH(Online_Sales_Data[[#This Row],[Date]])</f>
        <v>1</v>
      </c>
      <c r="L23" s="2">
        <f>YEAR(Online_Sales_Data[[#This Row],[Date]])</f>
        <v>2024</v>
      </c>
      <c r="M23" s="2">
        <f t="shared" si="0"/>
        <v>1</v>
      </c>
    </row>
    <row r="24" spans="1:13" x14ac:dyDescent="0.25">
      <c r="A24">
        <v>10023</v>
      </c>
      <c r="B24" s="1">
        <v>45314</v>
      </c>
      <c r="C24" s="2" t="s">
        <v>23</v>
      </c>
      <c r="D24" s="2" t="s">
        <v>43</v>
      </c>
      <c r="E24">
        <v>1</v>
      </c>
      <c r="F24">
        <v>49.99</v>
      </c>
      <c r="G24">
        <v>49.99</v>
      </c>
      <c r="H24" s="2" t="s">
        <v>15</v>
      </c>
      <c r="I24" s="2" t="s">
        <v>16</v>
      </c>
      <c r="J24">
        <f>Online_Sales_Data[[#This Row],[Units Sold]]*Online_Sales_Data[[#This Row],[Unit Price]]</f>
        <v>49.99</v>
      </c>
      <c r="K24" s="2">
        <f>MONTH(Online_Sales_Data[[#This Row],[Date]])</f>
        <v>1</v>
      </c>
      <c r="L24" s="2">
        <f>YEAR(Online_Sales_Data[[#This Row],[Date]])</f>
        <v>2024</v>
      </c>
      <c r="M24" s="2">
        <f t="shared" si="0"/>
        <v>1</v>
      </c>
    </row>
    <row r="25" spans="1:13" x14ac:dyDescent="0.25">
      <c r="A25">
        <v>10024</v>
      </c>
      <c r="B25" s="1">
        <v>45315</v>
      </c>
      <c r="C25" s="2" t="s">
        <v>25</v>
      </c>
      <c r="D25" s="2" t="s">
        <v>44</v>
      </c>
      <c r="E25">
        <v>3</v>
      </c>
      <c r="F25">
        <v>29.99</v>
      </c>
      <c r="G25">
        <v>89.97</v>
      </c>
      <c r="H25" s="2" t="s">
        <v>19</v>
      </c>
      <c r="I25" s="2" t="s">
        <v>12</v>
      </c>
      <c r="J25">
        <f>Online_Sales_Data[[#This Row],[Units Sold]]*Online_Sales_Data[[#This Row],[Unit Price]]</f>
        <v>89.97</v>
      </c>
      <c r="K25" s="2">
        <f>MONTH(Online_Sales_Data[[#This Row],[Date]])</f>
        <v>1</v>
      </c>
      <c r="L25" s="2">
        <f>YEAR(Online_Sales_Data[[#This Row],[Date]])</f>
        <v>2024</v>
      </c>
      <c r="M25" s="2">
        <f t="shared" si="0"/>
        <v>1</v>
      </c>
    </row>
    <row r="26" spans="1:13" x14ac:dyDescent="0.25">
      <c r="A26">
        <v>10025</v>
      </c>
      <c r="B26" s="1">
        <v>45316</v>
      </c>
      <c r="C26" s="2" t="s">
        <v>9</v>
      </c>
      <c r="D26" s="2" t="s">
        <v>45</v>
      </c>
      <c r="E26">
        <v>1</v>
      </c>
      <c r="F26">
        <v>299.99</v>
      </c>
      <c r="G26">
        <v>299.99</v>
      </c>
      <c r="H26" s="2" t="s">
        <v>11</v>
      </c>
      <c r="I26" s="2" t="s">
        <v>12</v>
      </c>
      <c r="J26">
        <f>Online_Sales_Data[[#This Row],[Units Sold]]*Online_Sales_Data[[#This Row],[Unit Price]]</f>
        <v>299.99</v>
      </c>
      <c r="K26" s="2">
        <f>MONTH(Online_Sales_Data[[#This Row],[Date]])</f>
        <v>1</v>
      </c>
      <c r="L26" s="2">
        <f>YEAR(Online_Sales_Data[[#This Row],[Date]])</f>
        <v>2024</v>
      </c>
      <c r="M26" s="2">
        <f t="shared" si="0"/>
        <v>1</v>
      </c>
    </row>
    <row r="27" spans="1:13" x14ac:dyDescent="0.25">
      <c r="A27">
        <v>10026</v>
      </c>
      <c r="B27" s="1">
        <v>45317</v>
      </c>
      <c r="C27" s="2" t="s">
        <v>13</v>
      </c>
      <c r="D27" s="2" t="s">
        <v>46</v>
      </c>
      <c r="E27">
        <v>1</v>
      </c>
      <c r="F27">
        <v>179.99</v>
      </c>
      <c r="G27">
        <v>179.99</v>
      </c>
      <c r="H27" s="2" t="s">
        <v>15</v>
      </c>
      <c r="I27" s="2" t="s">
        <v>16</v>
      </c>
      <c r="J27">
        <f>Online_Sales_Data[[#This Row],[Units Sold]]*Online_Sales_Data[[#This Row],[Unit Price]]</f>
        <v>179.99</v>
      </c>
      <c r="K27" s="2">
        <f>MONTH(Online_Sales_Data[[#This Row],[Date]])</f>
        <v>1</v>
      </c>
      <c r="L27" s="2">
        <f>YEAR(Online_Sales_Data[[#This Row],[Date]])</f>
        <v>2024</v>
      </c>
      <c r="M27" s="2">
        <f t="shared" si="0"/>
        <v>1</v>
      </c>
    </row>
    <row r="28" spans="1:13" x14ac:dyDescent="0.25">
      <c r="A28">
        <v>10027</v>
      </c>
      <c r="B28" s="1">
        <v>45318</v>
      </c>
      <c r="C28" s="2" t="s">
        <v>17</v>
      </c>
      <c r="D28" s="2" t="s">
        <v>47</v>
      </c>
      <c r="E28">
        <v>2</v>
      </c>
      <c r="F28">
        <v>179.99</v>
      </c>
      <c r="G28">
        <v>359.98</v>
      </c>
      <c r="H28" s="2" t="s">
        <v>19</v>
      </c>
      <c r="I28" s="2" t="s">
        <v>20</v>
      </c>
      <c r="J28">
        <f>Online_Sales_Data[[#This Row],[Units Sold]]*Online_Sales_Data[[#This Row],[Unit Price]]</f>
        <v>359.98</v>
      </c>
      <c r="K28" s="2">
        <f>MONTH(Online_Sales_Data[[#This Row],[Date]])</f>
        <v>1</v>
      </c>
      <c r="L28" s="2">
        <f>YEAR(Online_Sales_Data[[#This Row],[Date]])</f>
        <v>2024</v>
      </c>
      <c r="M28" s="2">
        <f t="shared" si="0"/>
        <v>1</v>
      </c>
    </row>
    <row r="29" spans="1:13" x14ac:dyDescent="0.25">
      <c r="A29">
        <v>10028</v>
      </c>
      <c r="B29" s="1">
        <v>45319</v>
      </c>
      <c r="C29" s="2" t="s">
        <v>21</v>
      </c>
      <c r="D29" s="2" t="s">
        <v>48</v>
      </c>
      <c r="E29">
        <v>3</v>
      </c>
      <c r="F29">
        <v>12.99</v>
      </c>
      <c r="G29">
        <v>38.97</v>
      </c>
      <c r="H29" s="2" t="s">
        <v>11</v>
      </c>
      <c r="I29" s="2" t="s">
        <v>12</v>
      </c>
      <c r="J29">
        <f>Online_Sales_Data[[#This Row],[Units Sold]]*Online_Sales_Data[[#This Row],[Unit Price]]</f>
        <v>38.97</v>
      </c>
      <c r="K29" s="2">
        <f>MONTH(Online_Sales_Data[[#This Row],[Date]])</f>
        <v>1</v>
      </c>
      <c r="L29" s="2">
        <f>YEAR(Online_Sales_Data[[#This Row],[Date]])</f>
        <v>2024</v>
      </c>
      <c r="M29" s="2">
        <f t="shared" si="0"/>
        <v>1</v>
      </c>
    </row>
    <row r="30" spans="1:13" x14ac:dyDescent="0.25">
      <c r="A30">
        <v>10029</v>
      </c>
      <c r="B30" s="1">
        <v>45320</v>
      </c>
      <c r="C30" s="2" t="s">
        <v>23</v>
      </c>
      <c r="D30" s="2" t="s">
        <v>49</v>
      </c>
      <c r="E30">
        <v>1</v>
      </c>
      <c r="F30">
        <v>29.99</v>
      </c>
      <c r="G30">
        <v>29.99</v>
      </c>
      <c r="H30" s="2" t="s">
        <v>15</v>
      </c>
      <c r="I30" s="2" t="s">
        <v>16</v>
      </c>
      <c r="J30">
        <f>Online_Sales_Data[[#This Row],[Units Sold]]*Online_Sales_Data[[#This Row],[Unit Price]]</f>
        <v>29.99</v>
      </c>
      <c r="K30" s="2">
        <f>MONTH(Online_Sales_Data[[#This Row],[Date]])</f>
        <v>1</v>
      </c>
      <c r="L30" s="2">
        <f>YEAR(Online_Sales_Data[[#This Row],[Date]])</f>
        <v>2024</v>
      </c>
      <c r="M30" s="2">
        <f t="shared" si="0"/>
        <v>1</v>
      </c>
    </row>
    <row r="31" spans="1:13" x14ac:dyDescent="0.25">
      <c r="A31">
        <v>10030</v>
      </c>
      <c r="B31" s="1">
        <v>45321</v>
      </c>
      <c r="C31" s="2" t="s">
        <v>25</v>
      </c>
      <c r="D31" s="2" t="s">
        <v>50</v>
      </c>
      <c r="E31">
        <v>2</v>
      </c>
      <c r="F31">
        <v>129.99</v>
      </c>
      <c r="G31">
        <v>259.98</v>
      </c>
      <c r="H31" s="2" t="s">
        <v>19</v>
      </c>
      <c r="I31" s="2" t="s">
        <v>12</v>
      </c>
      <c r="J31">
        <f>Online_Sales_Data[[#This Row],[Units Sold]]*Online_Sales_Data[[#This Row],[Unit Price]]</f>
        <v>259.98</v>
      </c>
      <c r="K31" s="2">
        <f>MONTH(Online_Sales_Data[[#This Row],[Date]])</f>
        <v>1</v>
      </c>
      <c r="L31" s="2">
        <f>YEAR(Online_Sales_Data[[#This Row],[Date]])</f>
        <v>2024</v>
      </c>
      <c r="M31" s="2">
        <f t="shared" si="0"/>
        <v>1.3333333333333333</v>
      </c>
    </row>
    <row r="32" spans="1:13" x14ac:dyDescent="0.25">
      <c r="A32">
        <v>10031</v>
      </c>
      <c r="B32" s="1">
        <v>45322</v>
      </c>
      <c r="C32" s="2" t="s">
        <v>9</v>
      </c>
      <c r="D32" s="2" t="s">
        <v>51</v>
      </c>
      <c r="E32">
        <v>2</v>
      </c>
      <c r="F32">
        <v>349.99</v>
      </c>
      <c r="G32">
        <v>699.98</v>
      </c>
      <c r="H32" s="2" t="s">
        <v>11</v>
      </c>
      <c r="I32" s="2" t="s">
        <v>12</v>
      </c>
      <c r="J32">
        <f>Online_Sales_Data[[#This Row],[Units Sold]]*Online_Sales_Data[[#This Row],[Unit Price]]</f>
        <v>699.98</v>
      </c>
      <c r="K32" s="2">
        <f>MONTH(Online_Sales_Data[[#This Row],[Date]])</f>
        <v>1</v>
      </c>
      <c r="L32" s="2">
        <f>YEAR(Online_Sales_Data[[#This Row],[Date]])</f>
        <v>2024</v>
      </c>
      <c r="M32" s="2">
        <f t="shared" si="0"/>
        <v>1.6666666666666667</v>
      </c>
    </row>
    <row r="33" spans="1:13" x14ac:dyDescent="0.25">
      <c r="A33">
        <v>10032</v>
      </c>
      <c r="B33" s="1">
        <v>45323</v>
      </c>
      <c r="C33" s="2" t="s">
        <v>13</v>
      </c>
      <c r="D33" s="2" t="s">
        <v>52</v>
      </c>
      <c r="E33">
        <v>3</v>
      </c>
      <c r="F33">
        <v>89.99</v>
      </c>
      <c r="G33">
        <v>269.97000000000003</v>
      </c>
      <c r="H33" s="2" t="s">
        <v>15</v>
      </c>
      <c r="I33" s="2" t="s">
        <v>16</v>
      </c>
      <c r="J33">
        <f>Online_Sales_Data[[#This Row],[Units Sold]]*Online_Sales_Data[[#This Row],[Unit Price]]</f>
        <v>269.96999999999997</v>
      </c>
      <c r="K33" s="2">
        <f>MONTH(Online_Sales_Data[[#This Row],[Date]])</f>
        <v>2</v>
      </c>
      <c r="L33" s="2">
        <f>YEAR(Online_Sales_Data[[#This Row],[Date]])</f>
        <v>2024</v>
      </c>
      <c r="M33" s="2">
        <f t="shared" si="0"/>
        <v>2</v>
      </c>
    </row>
    <row r="34" spans="1:13" x14ac:dyDescent="0.25">
      <c r="A34">
        <v>10033</v>
      </c>
      <c r="B34" s="1">
        <v>45324</v>
      </c>
      <c r="C34" s="2" t="s">
        <v>17</v>
      </c>
      <c r="D34" s="2" t="s">
        <v>53</v>
      </c>
      <c r="E34">
        <v>5</v>
      </c>
      <c r="F34">
        <v>29.99</v>
      </c>
      <c r="G34">
        <v>149.94999999999999</v>
      </c>
      <c r="H34" s="2" t="s">
        <v>19</v>
      </c>
      <c r="I34" s="2" t="s">
        <v>20</v>
      </c>
      <c r="J34">
        <f>Online_Sales_Data[[#This Row],[Units Sold]]*Online_Sales_Data[[#This Row],[Unit Price]]</f>
        <v>149.94999999999999</v>
      </c>
      <c r="K34" s="2">
        <f>MONTH(Online_Sales_Data[[#This Row],[Date]])</f>
        <v>2</v>
      </c>
      <c r="L34" s="2">
        <f>YEAR(Online_Sales_Data[[#This Row],[Date]])</f>
        <v>2024</v>
      </c>
      <c r="M34" s="2">
        <f t="shared" si="0"/>
        <v>2</v>
      </c>
    </row>
    <row r="35" spans="1:13" x14ac:dyDescent="0.25">
      <c r="A35">
        <v>10034</v>
      </c>
      <c r="B35" s="1">
        <v>45325</v>
      </c>
      <c r="C35" s="2" t="s">
        <v>21</v>
      </c>
      <c r="D35" s="2" t="s">
        <v>54</v>
      </c>
      <c r="E35">
        <v>4</v>
      </c>
      <c r="F35">
        <v>19.989999999999998</v>
      </c>
      <c r="G35">
        <v>79.959999999999994</v>
      </c>
      <c r="H35" s="2" t="s">
        <v>11</v>
      </c>
      <c r="I35" s="2" t="s">
        <v>12</v>
      </c>
      <c r="J35">
        <f>Online_Sales_Data[[#This Row],[Units Sold]]*Online_Sales_Data[[#This Row],[Unit Price]]</f>
        <v>79.959999999999994</v>
      </c>
      <c r="K35" s="2">
        <f>MONTH(Online_Sales_Data[[#This Row],[Date]])</f>
        <v>2</v>
      </c>
      <c r="L35" s="2">
        <f>YEAR(Online_Sales_Data[[#This Row],[Date]])</f>
        <v>2024</v>
      </c>
      <c r="M35" s="2">
        <f t="shared" si="0"/>
        <v>2</v>
      </c>
    </row>
    <row r="36" spans="1:13" x14ac:dyDescent="0.25">
      <c r="A36">
        <v>10035</v>
      </c>
      <c r="B36" s="1">
        <v>45326</v>
      </c>
      <c r="C36" s="2" t="s">
        <v>23</v>
      </c>
      <c r="D36" s="2" t="s">
        <v>55</v>
      </c>
      <c r="E36">
        <v>2</v>
      </c>
      <c r="F36">
        <v>39.99</v>
      </c>
      <c r="G36">
        <v>79.98</v>
      </c>
      <c r="H36" s="2" t="s">
        <v>15</v>
      </c>
      <c r="I36" s="2" t="s">
        <v>16</v>
      </c>
      <c r="J36">
        <f>Online_Sales_Data[[#This Row],[Units Sold]]*Online_Sales_Data[[#This Row],[Unit Price]]</f>
        <v>79.98</v>
      </c>
      <c r="K36" s="2">
        <f>MONTH(Online_Sales_Data[[#This Row],[Date]])</f>
        <v>2</v>
      </c>
      <c r="L36" s="2">
        <f>YEAR(Online_Sales_Data[[#This Row],[Date]])</f>
        <v>2024</v>
      </c>
      <c r="M36" s="2">
        <f t="shared" si="0"/>
        <v>2</v>
      </c>
    </row>
    <row r="37" spans="1:13" x14ac:dyDescent="0.25">
      <c r="A37">
        <v>10036</v>
      </c>
      <c r="B37" s="1">
        <v>45327</v>
      </c>
      <c r="C37" s="2" t="s">
        <v>25</v>
      </c>
      <c r="D37" s="2" t="s">
        <v>56</v>
      </c>
      <c r="E37">
        <v>1</v>
      </c>
      <c r="F37">
        <v>1895</v>
      </c>
      <c r="G37">
        <v>1895</v>
      </c>
      <c r="H37" s="2" t="s">
        <v>19</v>
      </c>
      <c r="I37" s="2" t="s">
        <v>12</v>
      </c>
      <c r="J37">
        <f>Online_Sales_Data[[#This Row],[Units Sold]]*Online_Sales_Data[[#This Row],[Unit Price]]</f>
        <v>1895</v>
      </c>
      <c r="K37" s="2">
        <f>MONTH(Online_Sales_Data[[#This Row],[Date]])</f>
        <v>2</v>
      </c>
      <c r="L37" s="2">
        <f>YEAR(Online_Sales_Data[[#This Row],[Date]])</f>
        <v>2024</v>
      </c>
      <c r="M37" s="2">
        <f t="shared" si="0"/>
        <v>2</v>
      </c>
    </row>
    <row r="38" spans="1:13" x14ac:dyDescent="0.25">
      <c r="A38">
        <v>10037</v>
      </c>
      <c r="B38" s="1">
        <v>45328</v>
      </c>
      <c r="C38" s="2" t="s">
        <v>9</v>
      </c>
      <c r="D38" s="2" t="s">
        <v>57</v>
      </c>
      <c r="E38">
        <v>3</v>
      </c>
      <c r="F38">
        <v>399.99</v>
      </c>
      <c r="G38">
        <v>1199.97</v>
      </c>
      <c r="H38" s="2" t="s">
        <v>11</v>
      </c>
      <c r="I38" s="2" t="s">
        <v>12</v>
      </c>
      <c r="J38">
        <f>Online_Sales_Data[[#This Row],[Units Sold]]*Online_Sales_Data[[#This Row],[Unit Price]]</f>
        <v>1199.97</v>
      </c>
      <c r="K38" s="2">
        <f>MONTH(Online_Sales_Data[[#This Row],[Date]])</f>
        <v>2</v>
      </c>
      <c r="L38" s="2">
        <f>YEAR(Online_Sales_Data[[#This Row],[Date]])</f>
        <v>2024</v>
      </c>
      <c r="M38" s="2">
        <f t="shared" si="0"/>
        <v>2</v>
      </c>
    </row>
    <row r="39" spans="1:13" x14ac:dyDescent="0.25">
      <c r="A39">
        <v>10038</v>
      </c>
      <c r="B39" s="1">
        <v>45329</v>
      </c>
      <c r="C39" s="2" t="s">
        <v>13</v>
      </c>
      <c r="D39" s="2" t="s">
        <v>58</v>
      </c>
      <c r="E39">
        <v>2</v>
      </c>
      <c r="F39">
        <v>799.99</v>
      </c>
      <c r="G39">
        <v>1599.98</v>
      </c>
      <c r="H39" s="2" t="s">
        <v>15</v>
      </c>
      <c r="I39" s="2" t="s">
        <v>16</v>
      </c>
      <c r="J39">
        <f>Online_Sales_Data[[#This Row],[Units Sold]]*Online_Sales_Data[[#This Row],[Unit Price]]</f>
        <v>1599.98</v>
      </c>
      <c r="K39" s="2">
        <f>MONTH(Online_Sales_Data[[#This Row],[Date]])</f>
        <v>2</v>
      </c>
      <c r="L39" s="2">
        <f>YEAR(Online_Sales_Data[[#This Row],[Date]])</f>
        <v>2024</v>
      </c>
      <c r="M39" s="2">
        <f t="shared" si="0"/>
        <v>2</v>
      </c>
    </row>
    <row r="40" spans="1:13" x14ac:dyDescent="0.25">
      <c r="A40">
        <v>10039</v>
      </c>
      <c r="B40" s="1">
        <v>45330</v>
      </c>
      <c r="C40" s="2" t="s">
        <v>17</v>
      </c>
      <c r="D40" s="2" t="s">
        <v>59</v>
      </c>
      <c r="E40">
        <v>4</v>
      </c>
      <c r="F40">
        <v>59.99</v>
      </c>
      <c r="G40">
        <v>239.96</v>
      </c>
      <c r="H40" s="2" t="s">
        <v>19</v>
      </c>
      <c r="I40" s="2" t="s">
        <v>20</v>
      </c>
      <c r="J40">
        <f>Online_Sales_Data[[#This Row],[Units Sold]]*Online_Sales_Data[[#This Row],[Unit Price]]</f>
        <v>239.96</v>
      </c>
      <c r="K40" s="2">
        <f>MONTH(Online_Sales_Data[[#This Row],[Date]])</f>
        <v>2</v>
      </c>
      <c r="L40" s="2">
        <f>YEAR(Online_Sales_Data[[#This Row],[Date]])</f>
        <v>2024</v>
      </c>
      <c r="M40" s="2">
        <f t="shared" si="0"/>
        <v>2</v>
      </c>
    </row>
    <row r="41" spans="1:13" x14ac:dyDescent="0.25">
      <c r="A41">
        <v>10040</v>
      </c>
      <c r="B41" s="1">
        <v>45331</v>
      </c>
      <c r="C41" s="2" t="s">
        <v>21</v>
      </c>
      <c r="D41" s="2" t="s">
        <v>60</v>
      </c>
      <c r="E41">
        <v>3</v>
      </c>
      <c r="F41">
        <v>24.99</v>
      </c>
      <c r="G41">
        <v>74.97</v>
      </c>
      <c r="H41" s="2" t="s">
        <v>11</v>
      </c>
      <c r="I41" s="2" t="s">
        <v>12</v>
      </c>
      <c r="J41">
        <f>Online_Sales_Data[[#This Row],[Units Sold]]*Online_Sales_Data[[#This Row],[Unit Price]]</f>
        <v>74.97</v>
      </c>
      <c r="K41" s="2">
        <f>MONTH(Online_Sales_Data[[#This Row],[Date]])</f>
        <v>2</v>
      </c>
      <c r="L41" s="2">
        <f>YEAR(Online_Sales_Data[[#This Row],[Date]])</f>
        <v>2024</v>
      </c>
      <c r="M41" s="2">
        <f t="shared" si="0"/>
        <v>2</v>
      </c>
    </row>
    <row r="42" spans="1:13" x14ac:dyDescent="0.25">
      <c r="A42">
        <v>10041</v>
      </c>
      <c r="B42" s="1">
        <v>45332</v>
      </c>
      <c r="C42" s="2" t="s">
        <v>23</v>
      </c>
      <c r="D42" s="2" t="s">
        <v>61</v>
      </c>
      <c r="E42">
        <v>1</v>
      </c>
      <c r="F42">
        <v>105</v>
      </c>
      <c r="G42">
        <v>105</v>
      </c>
      <c r="H42" s="2" t="s">
        <v>15</v>
      </c>
      <c r="I42" s="2" t="s">
        <v>16</v>
      </c>
      <c r="J42">
        <f>Online_Sales_Data[[#This Row],[Units Sold]]*Online_Sales_Data[[#This Row],[Unit Price]]</f>
        <v>105</v>
      </c>
      <c r="K42" s="2">
        <f>MONTH(Online_Sales_Data[[#This Row],[Date]])</f>
        <v>2</v>
      </c>
      <c r="L42" s="2">
        <f>YEAR(Online_Sales_Data[[#This Row],[Date]])</f>
        <v>2024</v>
      </c>
      <c r="M42" s="2">
        <f t="shared" si="0"/>
        <v>2</v>
      </c>
    </row>
    <row r="43" spans="1:13" x14ac:dyDescent="0.25">
      <c r="A43">
        <v>10042</v>
      </c>
      <c r="B43" s="1">
        <v>45333</v>
      </c>
      <c r="C43" s="2" t="s">
        <v>25</v>
      </c>
      <c r="D43" s="2" t="s">
        <v>62</v>
      </c>
      <c r="E43">
        <v>2</v>
      </c>
      <c r="F43">
        <v>129.99</v>
      </c>
      <c r="G43">
        <v>259.98</v>
      </c>
      <c r="H43" s="2" t="s">
        <v>19</v>
      </c>
      <c r="I43" s="2" t="s">
        <v>12</v>
      </c>
      <c r="J43">
        <f>Online_Sales_Data[[#This Row],[Units Sold]]*Online_Sales_Data[[#This Row],[Unit Price]]</f>
        <v>259.98</v>
      </c>
      <c r="K43" s="2">
        <f>MONTH(Online_Sales_Data[[#This Row],[Date]])</f>
        <v>2</v>
      </c>
      <c r="L43" s="2">
        <f>YEAR(Online_Sales_Data[[#This Row],[Date]])</f>
        <v>2024</v>
      </c>
      <c r="M43" s="2">
        <f t="shared" si="0"/>
        <v>2</v>
      </c>
    </row>
    <row r="44" spans="1:13" x14ac:dyDescent="0.25">
      <c r="A44">
        <v>10043</v>
      </c>
      <c r="B44" s="1">
        <v>45334</v>
      </c>
      <c r="C44" s="2" t="s">
        <v>9</v>
      </c>
      <c r="D44" s="2" t="s">
        <v>63</v>
      </c>
      <c r="E44">
        <v>3</v>
      </c>
      <c r="F44">
        <v>399.99</v>
      </c>
      <c r="G44">
        <v>1199.97</v>
      </c>
      <c r="H44" s="2" t="s">
        <v>11</v>
      </c>
      <c r="I44" s="2" t="s">
        <v>12</v>
      </c>
      <c r="J44">
        <f>Online_Sales_Data[[#This Row],[Units Sold]]*Online_Sales_Data[[#This Row],[Unit Price]]</f>
        <v>1199.97</v>
      </c>
      <c r="K44" s="2">
        <f>MONTH(Online_Sales_Data[[#This Row],[Date]])</f>
        <v>2</v>
      </c>
      <c r="L44" s="2">
        <f>YEAR(Online_Sales_Data[[#This Row],[Date]])</f>
        <v>2024</v>
      </c>
      <c r="M44" s="2">
        <f t="shared" si="0"/>
        <v>2</v>
      </c>
    </row>
    <row r="45" spans="1:13" x14ac:dyDescent="0.25">
      <c r="A45">
        <v>10044</v>
      </c>
      <c r="B45" s="1">
        <v>45335</v>
      </c>
      <c r="C45" s="2" t="s">
        <v>13</v>
      </c>
      <c r="D45" s="2" t="s">
        <v>64</v>
      </c>
      <c r="E45">
        <v>1</v>
      </c>
      <c r="F45">
        <v>199.99</v>
      </c>
      <c r="G45">
        <v>199.99</v>
      </c>
      <c r="H45" s="2" t="s">
        <v>15</v>
      </c>
      <c r="I45" s="2" t="s">
        <v>16</v>
      </c>
      <c r="J45">
        <f>Online_Sales_Data[[#This Row],[Units Sold]]*Online_Sales_Data[[#This Row],[Unit Price]]</f>
        <v>199.99</v>
      </c>
      <c r="K45" s="2">
        <f>MONTH(Online_Sales_Data[[#This Row],[Date]])</f>
        <v>2</v>
      </c>
      <c r="L45" s="2">
        <f>YEAR(Online_Sales_Data[[#This Row],[Date]])</f>
        <v>2024</v>
      </c>
      <c r="M45" s="2">
        <f t="shared" si="0"/>
        <v>2</v>
      </c>
    </row>
    <row r="46" spans="1:13" x14ac:dyDescent="0.25">
      <c r="A46">
        <v>10045</v>
      </c>
      <c r="B46" s="1">
        <v>45336</v>
      </c>
      <c r="C46" s="2" t="s">
        <v>17</v>
      </c>
      <c r="D46" s="2" t="s">
        <v>65</v>
      </c>
      <c r="E46">
        <v>2</v>
      </c>
      <c r="F46">
        <v>139.99</v>
      </c>
      <c r="G46">
        <v>279.98</v>
      </c>
      <c r="H46" s="2" t="s">
        <v>19</v>
      </c>
      <c r="I46" s="2" t="s">
        <v>20</v>
      </c>
      <c r="J46">
        <f>Online_Sales_Data[[#This Row],[Units Sold]]*Online_Sales_Data[[#This Row],[Unit Price]]</f>
        <v>279.98</v>
      </c>
      <c r="K46" s="2">
        <f>MONTH(Online_Sales_Data[[#This Row],[Date]])</f>
        <v>2</v>
      </c>
      <c r="L46" s="2">
        <f>YEAR(Online_Sales_Data[[#This Row],[Date]])</f>
        <v>2024</v>
      </c>
      <c r="M46" s="2">
        <f t="shared" si="0"/>
        <v>2</v>
      </c>
    </row>
    <row r="47" spans="1:13" x14ac:dyDescent="0.25">
      <c r="A47">
        <v>10046</v>
      </c>
      <c r="B47" s="1">
        <v>45337</v>
      </c>
      <c r="C47" s="2" t="s">
        <v>21</v>
      </c>
      <c r="D47" s="2" t="s">
        <v>66</v>
      </c>
      <c r="E47">
        <v>4</v>
      </c>
      <c r="F47">
        <v>32.5</v>
      </c>
      <c r="G47">
        <v>130</v>
      </c>
      <c r="H47" s="2" t="s">
        <v>11</v>
      </c>
      <c r="I47" s="2" t="s">
        <v>12</v>
      </c>
      <c r="J47">
        <f>Online_Sales_Data[[#This Row],[Units Sold]]*Online_Sales_Data[[#This Row],[Unit Price]]</f>
        <v>130</v>
      </c>
      <c r="K47" s="2">
        <f>MONTH(Online_Sales_Data[[#This Row],[Date]])</f>
        <v>2</v>
      </c>
      <c r="L47" s="2">
        <f>YEAR(Online_Sales_Data[[#This Row],[Date]])</f>
        <v>2024</v>
      </c>
      <c r="M47" s="2">
        <f t="shared" si="0"/>
        <v>2</v>
      </c>
    </row>
    <row r="48" spans="1:13" x14ac:dyDescent="0.25">
      <c r="A48">
        <v>10047</v>
      </c>
      <c r="B48" s="1">
        <v>45338</v>
      </c>
      <c r="C48" s="2" t="s">
        <v>23</v>
      </c>
      <c r="D48" s="2" t="s">
        <v>67</v>
      </c>
      <c r="E48">
        <v>1</v>
      </c>
      <c r="F48">
        <v>52</v>
      </c>
      <c r="G48">
        <v>52</v>
      </c>
      <c r="H48" s="2" t="s">
        <v>15</v>
      </c>
      <c r="I48" s="2" t="s">
        <v>16</v>
      </c>
      <c r="J48">
        <f>Online_Sales_Data[[#This Row],[Units Sold]]*Online_Sales_Data[[#This Row],[Unit Price]]</f>
        <v>52</v>
      </c>
      <c r="K48" s="2">
        <f>MONTH(Online_Sales_Data[[#This Row],[Date]])</f>
        <v>2</v>
      </c>
      <c r="L48" s="2">
        <f>YEAR(Online_Sales_Data[[#This Row],[Date]])</f>
        <v>2024</v>
      </c>
      <c r="M48" s="2">
        <f t="shared" si="0"/>
        <v>2</v>
      </c>
    </row>
    <row r="49" spans="1:13" x14ac:dyDescent="0.25">
      <c r="A49">
        <v>10048</v>
      </c>
      <c r="B49" s="1">
        <v>45339</v>
      </c>
      <c r="C49" s="2" t="s">
        <v>25</v>
      </c>
      <c r="D49" s="2" t="s">
        <v>68</v>
      </c>
      <c r="E49">
        <v>6</v>
      </c>
      <c r="F49">
        <v>39.99</v>
      </c>
      <c r="G49">
        <v>239.94</v>
      </c>
      <c r="H49" s="2" t="s">
        <v>19</v>
      </c>
      <c r="I49" s="2" t="s">
        <v>12</v>
      </c>
      <c r="J49">
        <f>Online_Sales_Data[[#This Row],[Units Sold]]*Online_Sales_Data[[#This Row],[Unit Price]]</f>
        <v>239.94</v>
      </c>
      <c r="K49" s="2">
        <f>MONTH(Online_Sales_Data[[#This Row],[Date]])</f>
        <v>2</v>
      </c>
      <c r="L49" s="2">
        <f>YEAR(Online_Sales_Data[[#This Row],[Date]])</f>
        <v>2024</v>
      </c>
      <c r="M49" s="2">
        <f t="shared" si="0"/>
        <v>2</v>
      </c>
    </row>
    <row r="50" spans="1:13" x14ac:dyDescent="0.25">
      <c r="A50">
        <v>10049</v>
      </c>
      <c r="B50" s="1">
        <v>45340</v>
      </c>
      <c r="C50" s="2" t="s">
        <v>9</v>
      </c>
      <c r="D50" s="2" t="s">
        <v>69</v>
      </c>
      <c r="E50">
        <v>2</v>
      </c>
      <c r="F50">
        <v>129.99</v>
      </c>
      <c r="G50">
        <v>259.98</v>
      </c>
      <c r="H50" s="2" t="s">
        <v>11</v>
      </c>
      <c r="I50" s="2" t="s">
        <v>12</v>
      </c>
      <c r="J50">
        <f>Online_Sales_Data[[#This Row],[Units Sold]]*Online_Sales_Data[[#This Row],[Unit Price]]</f>
        <v>259.98</v>
      </c>
      <c r="K50" s="2">
        <f>MONTH(Online_Sales_Data[[#This Row],[Date]])</f>
        <v>2</v>
      </c>
      <c r="L50" s="2">
        <f>YEAR(Online_Sales_Data[[#This Row],[Date]])</f>
        <v>2024</v>
      </c>
      <c r="M50" s="2">
        <f t="shared" si="0"/>
        <v>2</v>
      </c>
    </row>
    <row r="51" spans="1:13" x14ac:dyDescent="0.25">
      <c r="A51">
        <v>10050</v>
      </c>
      <c r="B51" s="1">
        <v>45341</v>
      </c>
      <c r="C51" s="2" t="s">
        <v>13</v>
      </c>
      <c r="D51" s="2" t="s">
        <v>70</v>
      </c>
      <c r="E51">
        <v>1</v>
      </c>
      <c r="F51">
        <v>299.99</v>
      </c>
      <c r="G51">
        <v>299.99</v>
      </c>
      <c r="H51" s="2" t="s">
        <v>15</v>
      </c>
      <c r="I51" s="2" t="s">
        <v>16</v>
      </c>
      <c r="J51">
        <f>Online_Sales_Data[[#This Row],[Units Sold]]*Online_Sales_Data[[#This Row],[Unit Price]]</f>
        <v>299.99</v>
      </c>
      <c r="K51" s="2">
        <f>MONTH(Online_Sales_Data[[#This Row],[Date]])</f>
        <v>2</v>
      </c>
      <c r="L51" s="2">
        <f>YEAR(Online_Sales_Data[[#This Row],[Date]])</f>
        <v>2024</v>
      </c>
      <c r="M51" s="2">
        <f t="shared" si="0"/>
        <v>2</v>
      </c>
    </row>
    <row r="52" spans="1:13" x14ac:dyDescent="0.25">
      <c r="A52">
        <v>10051</v>
      </c>
      <c r="B52" s="1">
        <v>45342</v>
      </c>
      <c r="C52" s="2" t="s">
        <v>17</v>
      </c>
      <c r="D52" s="2" t="s">
        <v>71</v>
      </c>
      <c r="E52">
        <v>3</v>
      </c>
      <c r="F52">
        <v>154.99</v>
      </c>
      <c r="G52">
        <v>464.97</v>
      </c>
      <c r="H52" s="2" t="s">
        <v>19</v>
      </c>
      <c r="I52" s="2" t="s">
        <v>20</v>
      </c>
      <c r="J52">
        <f>Online_Sales_Data[[#This Row],[Units Sold]]*Online_Sales_Data[[#This Row],[Unit Price]]</f>
        <v>464.97</v>
      </c>
      <c r="K52" s="2">
        <f>MONTH(Online_Sales_Data[[#This Row],[Date]])</f>
        <v>2</v>
      </c>
      <c r="L52" s="2">
        <f>YEAR(Online_Sales_Data[[#This Row],[Date]])</f>
        <v>2024</v>
      </c>
      <c r="M52" s="2">
        <f t="shared" si="0"/>
        <v>2</v>
      </c>
    </row>
    <row r="53" spans="1:13" x14ac:dyDescent="0.25">
      <c r="A53">
        <v>10052</v>
      </c>
      <c r="B53" s="1">
        <v>45343</v>
      </c>
      <c r="C53" s="2" t="s">
        <v>21</v>
      </c>
      <c r="D53" s="2" t="s">
        <v>72</v>
      </c>
      <c r="E53">
        <v>2</v>
      </c>
      <c r="F53">
        <v>26.99</v>
      </c>
      <c r="G53">
        <v>53.98</v>
      </c>
      <c r="H53" s="2" t="s">
        <v>11</v>
      </c>
      <c r="I53" s="2" t="s">
        <v>12</v>
      </c>
      <c r="J53">
        <f>Online_Sales_Data[[#This Row],[Units Sold]]*Online_Sales_Data[[#This Row],[Unit Price]]</f>
        <v>53.98</v>
      </c>
      <c r="K53" s="2">
        <f>MONTH(Online_Sales_Data[[#This Row],[Date]])</f>
        <v>2</v>
      </c>
      <c r="L53" s="2">
        <f>YEAR(Online_Sales_Data[[#This Row],[Date]])</f>
        <v>2024</v>
      </c>
      <c r="M53" s="2">
        <f t="shared" si="0"/>
        <v>2</v>
      </c>
    </row>
    <row r="54" spans="1:13" x14ac:dyDescent="0.25">
      <c r="A54">
        <v>10053</v>
      </c>
      <c r="B54" s="1">
        <v>45344</v>
      </c>
      <c r="C54" s="2" t="s">
        <v>23</v>
      </c>
      <c r="D54" s="2" t="s">
        <v>73</v>
      </c>
      <c r="E54">
        <v>1</v>
      </c>
      <c r="F54">
        <v>49</v>
      </c>
      <c r="G54">
        <v>49</v>
      </c>
      <c r="H54" s="2" t="s">
        <v>15</v>
      </c>
      <c r="I54" s="2" t="s">
        <v>16</v>
      </c>
      <c r="J54">
        <f>Online_Sales_Data[[#This Row],[Units Sold]]*Online_Sales_Data[[#This Row],[Unit Price]]</f>
        <v>49</v>
      </c>
      <c r="K54" s="2">
        <f>MONTH(Online_Sales_Data[[#This Row],[Date]])</f>
        <v>2</v>
      </c>
      <c r="L54" s="2">
        <f>YEAR(Online_Sales_Data[[#This Row],[Date]])</f>
        <v>2024</v>
      </c>
      <c r="M54" s="2">
        <f t="shared" si="0"/>
        <v>2</v>
      </c>
    </row>
    <row r="55" spans="1:13" x14ac:dyDescent="0.25">
      <c r="A55">
        <v>10054</v>
      </c>
      <c r="B55" s="1">
        <v>45345</v>
      </c>
      <c r="C55" s="2" t="s">
        <v>25</v>
      </c>
      <c r="D55" s="2" t="s">
        <v>74</v>
      </c>
      <c r="E55">
        <v>5</v>
      </c>
      <c r="F55">
        <v>49.99</v>
      </c>
      <c r="G55">
        <v>249.95</v>
      </c>
      <c r="H55" s="2" t="s">
        <v>19</v>
      </c>
      <c r="I55" s="2" t="s">
        <v>12</v>
      </c>
      <c r="J55">
        <f>Online_Sales_Data[[#This Row],[Units Sold]]*Online_Sales_Data[[#This Row],[Unit Price]]</f>
        <v>249.95000000000002</v>
      </c>
      <c r="K55" s="2">
        <f>MONTH(Online_Sales_Data[[#This Row],[Date]])</f>
        <v>2</v>
      </c>
      <c r="L55" s="2">
        <f>YEAR(Online_Sales_Data[[#This Row],[Date]])</f>
        <v>2024</v>
      </c>
      <c r="M55" s="2">
        <f t="shared" si="0"/>
        <v>2</v>
      </c>
    </row>
    <row r="56" spans="1:13" x14ac:dyDescent="0.25">
      <c r="A56">
        <v>10055</v>
      </c>
      <c r="B56" s="1">
        <v>45346</v>
      </c>
      <c r="C56" s="2" t="s">
        <v>9</v>
      </c>
      <c r="D56" s="2" t="s">
        <v>75</v>
      </c>
      <c r="E56">
        <v>4</v>
      </c>
      <c r="F56">
        <v>59.99</v>
      </c>
      <c r="G56">
        <v>239.96</v>
      </c>
      <c r="H56" s="2" t="s">
        <v>11</v>
      </c>
      <c r="I56" s="2" t="s">
        <v>12</v>
      </c>
      <c r="J56">
        <f>Online_Sales_Data[[#This Row],[Units Sold]]*Online_Sales_Data[[#This Row],[Unit Price]]</f>
        <v>239.96</v>
      </c>
      <c r="K56" s="2">
        <f>MONTH(Online_Sales_Data[[#This Row],[Date]])</f>
        <v>2</v>
      </c>
      <c r="L56" s="2">
        <f>YEAR(Online_Sales_Data[[#This Row],[Date]])</f>
        <v>2024</v>
      </c>
      <c r="M56" s="2">
        <f t="shared" si="0"/>
        <v>2</v>
      </c>
    </row>
    <row r="57" spans="1:13" x14ac:dyDescent="0.25">
      <c r="A57">
        <v>10056</v>
      </c>
      <c r="B57" s="1">
        <v>45347</v>
      </c>
      <c r="C57" s="2" t="s">
        <v>13</v>
      </c>
      <c r="D57" s="2" t="s">
        <v>76</v>
      </c>
      <c r="E57">
        <v>1</v>
      </c>
      <c r="F57">
        <v>499.99</v>
      </c>
      <c r="G57">
        <v>499.99</v>
      </c>
      <c r="H57" s="2" t="s">
        <v>15</v>
      </c>
      <c r="I57" s="2" t="s">
        <v>16</v>
      </c>
      <c r="J57">
        <f>Online_Sales_Data[[#This Row],[Units Sold]]*Online_Sales_Data[[#This Row],[Unit Price]]</f>
        <v>499.99</v>
      </c>
      <c r="K57" s="2">
        <f>MONTH(Online_Sales_Data[[#This Row],[Date]])</f>
        <v>2</v>
      </c>
      <c r="L57" s="2">
        <f>YEAR(Online_Sales_Data[[#This Row],[Date]])</f>
        <v>2024</v>
      </c>
      <c r="M57" s="2">
        <f t="shared" si="0"/>
        <v>2</v>
      </c>
    </row>
    <row r="58" spans="1:13" x14ac:dyDescent="0.25">
      <c r="A58">
        <v>10057</v>
      </c>
      <c r="B58" s="1">
        <v>45348</v>
      </c>
      <c r="C58" s="2" t="s">
        <v>17</v>
      </c>
      <c r="D58" s="2" t="s">
        <v>77</v>
      </c>
      <c r="E58">
        <v>5</v>
      </c>
      <c r="F58">
        <v>29.99</v>
      </c>
      <c r="G58">
        <v>149.94999999999999</v>
      </c>
      <c r="H58" s="2" t="s">
        <v>19</v>
      </c>
      <c r="I58" s="2" t="s">
        <v>20</v>
      </c>
      <c r="J58">
        <f>Online_Sales_Data[[#This Row],[Units Sold]]*Online_Sales_Data[[#This Row],[Unit Price]]</f>
        <v>149.94999999999999</v>
      </c>
      <c r="K58" s="2">
        <f>MONTH(Online_Sales_Data[[#This Row],[Date]])</f>
        <v>2</v>
      </c>
      <c r="L58" s="2">
        <f>YEAR(Online_Sales_Data[[#This Row],[Date]])</f>
        <v>2024</v>
      </c>
      <c r="M58" s="2">
        <f t="shared" si="0"/>
        <v>2</v>
      </c>
    </row>
    <row r="59" spans="1:13" x14ac:dyDescent="0.25">
      <c r="A59">
        <v>10058</v>
      </c>
      <c r="B59" s="1">
        <v>45349</v>
      </c>
      <c r="C59" s="2" t="s">
        <v>21</v>
      </c>
      <c r="D59" s="2" t="s">
        <v>78</v>
      </c>
      <c r="E59">
        <v>3</v>
      </c>
      <c r="F59">
        <v>28</v>
      </c>
      <c r="G59">
        <v>84</v>
      </c>
      <c r="H59" s="2" t="s">
        <v>11</v>
      </c>
      <c r="I59" s="2" t="s">
        <v>12</v>
      </c>
      <c r="J59">
        <f>Online_Sales_Data[[#This Row],[Units Sold]]*Online_Sales_Data[[#This Row],[Unit Price]]</f>
        <v>84</v>
      </c>
      <c r="K59" s="2">
        <f>MONTH(Online_Sales_Data[[#This Row],[Date]])</f>
        <v>2</v>
      </c>
      <c r="L59" s="2">
        <f>YEAR(Online_Sales_Data[[#This Row],[Date]])</f>
        <v>2024</v>
      </c>
      <c r="M59" s="2">
        <f t="shared" si="0"/>
        <v>2</v>
      </c>
    </row>
    <row r="60" spans="1:13" x14ac:dyDescent="0.25">
      <c r="A60">
        <v>10059</v>
      </c>
      <c r="B60" s="1">
        <v>45350</v>
      </c>
      <c r="C60" s="2" t="s">
        <v>23</v>
      </c>
      <c r="D60" s="2" t="s">
        <v>79</v>
      </c>
      <c r="E60">
        <v>2</v>
      </c>
      <c r="F60">
        <v>23</v>
      </c>
      <c r="G60">
        <v>46</v>
      </c>
      <c r="H60" s="2" t="s">
        <v>15</v>
      </c>
      <c r="I60" s="2" t="s">
        <v>16</v>
      </c>
      <c r="J60">
        <f>Online_Sales_Data[[#This Row],[Units Sold]]*Online_Sales_Data[[#This Row],[Unit Price]]</f>
        <v>46</v>
      </c>
      <c r="K60" s="2">
        <f>MONTH(Online_Sales_Data[[#This Row],[Date]])</f>
        <v>2</v>
      </c>
      <c r="L60" s="2">
        <f>YEAR(Online_Sales_Data[[#This Row],[Date]])</f>
        <v>2024</v>
      </c>
      <c r="M60" s="2">
        <f t="shared" si="0"/>
        <v>2.3333333333333335</v>
      </c>
    </row>
    <row r="61" spans="1:13" x14ac:dyDescent="0.25">
      <c r="A61">
        <v>10060</v>
      </c>
      <c r="B61" s="1">
        <v>45351</v>
      </c>
      <c r="C61" s="2" t="s">
        <v>25</v>
      </c>
      <c r="D61" s="2" t="s">
        <v>80</v>
      </c>
      <c r="E61">
        <v>1</v>
      </c>
      <c r="F61">
        <v>349</v>
      </c>
      <c r="G61">
        <v>349</v>
      </c>
      <c r="H61" s="2" t="s">
        <v>19</v>
      </c>
      <c r="I61" s="2" t="s">
        <v>12</v>
      </c>
      <c r="J61">
        <f>Online_Sales_Data[[#This Row],[Units Sold]]*Online_Sales_Data[[#This Row],[Unit Price]]</f>
        <v>349</v>
      </c>
      <c r="K61" s="2">
        <f>MONTH(Online_Sales_Data[[#This Row],[Date]])</f>
        <v>2</v>
      </c>
      <c r="L61" s="2">
        <f>YEAR(Online_Sales_Data[[#This Row],[Date]])</f>
        <v>2024</v>
      </c>
      <c r="M61" s="2">
        <f t="shared" si="0"/>
        <v>2.6666666666666665</v>
      </c>
    </row>
    <row r="62" spans="1:13" x14ac:dyDescent="0.25">
      <c r="A62">
        <v>10061</v>
      </c>
      <c r="B62" s="1">
        <v>45352</v>
      </c>
      <c r="C62" s="2" t="s">
        <v>9</v>
      </c>
      <c r="D62" s="2" t="s">
        <v>81</v>
      </c>
      <c r="E62">
        <v>3</v>
      </c>
      <c r="F62">
        <v>299.99</v>
      </c>
      <c r="G62">
        <v>899.97</v>
      </c>
      <c r="H62" s="2" t="s">
        <v>11</v>
      </c>
      <c r="I62" s="2" t="s">
        <v>12</v>
      </c>
      <c r="J62">
        <f>Online_Sales_Data[[#This Row],[Units Sold]]*Online_Sales_Data[[#This Row],[Unit Price]]</f>
        <v>899.97</v>
      </c>
      <c r="K62" s="2">
        <f>MONTH(Online_Sales_Data[[#This Row],[Date]])</f>
        <v>3</v>
      </c>
      <c r="L62" s="2">
        <f>YEAR(Online_Sales_Data[[#This Row],[Date]])</f>
        <v>2024</v>
      </c>
      <c r="M62" s="2">
        <f t="shared" si="0"/>
        <v>3</v>
      </c>
    </row>
    <row r="63" spans="1:13" x14ac:dyDescent="0.25">
      <c r="A63">
        <v>10062</v>
      </c>
      <c r="B63" s="1">
        <v>45353</v>
      </c>
      <c r="C63" s="2" t="s">
        <v>13</v>
      </c>
      <c r="D63" s="2" t="s">
        <v>82</v>
      </c>
      <c r="E63">
        <v>2</v>
      </c>
      <c r="F63">
        <v>199.99</v>
      </c>
      <c r="G63">
        <v>399.98</v>
      </c>
      <c r="H63" s="2" t="s">
        <v>15</v>
      </c>
      <c r="I63" s="2" t="s">
        <v>16</v>
      </c>
      <c r="J63">
        <f>Online_Sales_Data[[#This Row],[Units Sold]]*Online_Sales_Data[[#This Row],[Unit Price]]</f>
        <v>399.98</v>
      </c>
      <c r="K63" s="2">
        <f>MONTH(Online_Sales_Data[[#This Row],[Date]])</f>
        <v>3</v>
      </c>
      <c r="L63" s="2">
        <f>YEAR(Online_Sales_Data[[#This Row],[Date]])</f>
        <v>2024</v>
      </c>
      <c r="M63" s="2">
        <f t="shared" si="0"/>
        <v>3</v>
      </c>
    </row>
    <row r="64" spans="1:13" x14ac:dyDescent="0.25">
      <c r="A64">
        <v>10063</v>
      </c>
      <c r="B64" s="1">
        <v>45354</v>
      </c>
      <c r="C64" s="2" t="s">
        <v>17</v>
      </c>
      <c r="D64" s="2" t="s">
        <v>83</v>
      </c>
      <c r="E64">
        <v>10</v>
      </c>
      <c r="F64">
        <v>9.99</v>
      </c>
      <c r="G64">
        <v>99.9</v>
      </c>
      <c r="H64" s="2" t="s">
        <v>19</v>
      </c>
      <c r="I64" s="2" t="s">
        <v>20</v>
      </c>
      <c r="J64">
        <f>Online_Sales_Data[[#This Row],[Units Sold]]*Online_Sales_Data[[#This Row],[Unit Price]]</f>
        <v>99.9</v>
      </c>
      <c r="K64" s="2">
        <f>MONTH(Online_Sales_Data[[#This Row],[Date]])</f>
        <v>3</v>
      </c>
      <c r="L64" s="2">
        <f>YEAR(Online_Sales_Data[[#This Row],[Date]])</f>
        <v>2024</v>
      </c>
      <c r="M64" s="2">
        <f t="shared" si="0"/>
        <v>3</v>
      </c>
    </row>
    <row r="65" spans="1:13" x14ac:dyDescent="0.25">
      <c r="A65">
        <v>10064</v>
      </c>
      <c r="B65" s="1">
        <v>45355</v>
      </c>
      <c r="C65" s="2" t="s">
        <v>21</v>
      </c>
      <c r="D65" s="2" t="s">
        <v>84</v>
      </c>
      <c r="E65">
        <v>4</v>
      </c>
      <c r="F65">
        <v>18.989999999999998</v>
      </c>
      <c r="G65">
        <v>75.959999999999994</v>
      </c>
      <c r="H65" s="2" t="s">
        <v>11</v>
      </c>
      <c r="I65" s="2" t="s">
        <v>12</v>
      </c>
      <c r="J65">
        <f>Online_Sales_Data[[#This Row],[Units Sold]]*Online_Sales_Data[[#This Row],[Unit Price]]</f>
        <v>75.959999999999994</v>
      </c>
      <c r="K65" s="2">
        <f>MONTH(Online_Sales_Data[[#This Row],[Date]])</f>
        <v>3</v>
      </c>
      <c r="L65" s="2">
        <f>YEAR(Online_Sales_Data[[#This Row],[Date]])</f>
        <v>2024</v>
      </c>
      <c r="M65" s="2">
        <f t="shared" si="0"/>
        <v>3</v>
      </c>
    </row>
    <row r="66" spans="1:13" x14ac:dyDescent="0.25">
      <c r="A66">
        <v>10065</v>
      </c>
      <c r="B66" s="1">
        <v>45356</v>
      </c>
      <c r="C66" s="2" t="s">
        <v>23</v>
      </c>
      <c r="D66" s="2" t="s">
        <v>85</v>
      </c>
      <c r="E66">
        <v>1</v>
      </c>
      <c r="F66">
        <v>102</v>
      </c>
      <c r="G66">
        <v>102</v>
      </c>
      <c r="H66" s="2" t="s">
        <v>15</v>
      </c>
      <c r="I66" s="2" t="s">
        <v>16</v>
      </c>
      <c r="J66">
        <f>Online_Sales_Data[[#This Row],[Units Sold]]*Online_Sales_Data[[#This Row],[Unit Price]]</f>
        <v>102</v>
      </c>
      <c r="K66" s="2">
        <f>MONTH(Online_Sales_Data[[#This Row],[Date]])</f>
        <v>3</v>
      </c>
      <c r="L66" s="2">
        <f>YEAR(Online_Sales_Data[[#This Row],[Date]])</f>
        <v>2024</v>
      </c>
      <c r="M66" s="2">
        <f t="shared" ref="M66:M129" si="1">AVERAGE(K66:K68)</f>
        <v>3</v>
      </c>
    </row>
    <row r="67" spans="1:13" x14ac:dyDescent="0.25">
      <c r="A67">
        <v>10066</v>
      </c>
      <c r="B67" s="1">
        <v>45357</v>
      </c>
      <c r="C67" s="2" t="s">
        <v>25</v>
      </c>
      <c r="D67" s="2" t="s">
        <v>86</v>
      </c>
      <c r="E67">
        <v>2</v>
      </c>
      <c r="F67">
        <v>299.99</v>
      </c>
      <c r="G67">
        <v>599.98</v>
      </c>
      <c r="H67" s="2" t="s">
        <v>19</v>
      </c>
      <c r="I67" s="2" t="s">
        <v>12</v>
      </c>
      <c r="J67">
        <f>Online_Sales_Data[[#This Row],[Units Sold]]*Online_Sales_Data[[#This Row],[Unit Price]]</f>
        <v>599.98</v>
      </c>
      <c r="K67" s="2">
        <f>MONTH(Online_Sales_Data[[#This Row],[Date]])</f>
        <v>3</v>
      </c>
      <c r="L67" s="2">
        <f>YEAR(Online_Sales_Data[[#This Row],[Date]])</f>
        <v>2024</v>
      </c>
      <c r="M67" s="2">
        <f t="shared" si="1"/>
        <v>3</v>
      </c>
    </row>
    <row r="68" spans="1:13" x14ac:dyDescent="0.25">
      <c r="A68">
        <v>10067</v>
      </c>
      <c r="B68" s="1">
        <v>45358</v>
      </c>
      <c r="C68" s="2" t="s">
        <v>9</v>
      </c>
      <c r="D68" s="2" t="s">
        <v>87</v>
      </c>
      <c r="E68">
        <v>1</v>
      </c>
      <c r="F68">
        <v>1199.99</v>
      </c>
      <c r="G68">
        <v>1199.99</v>
      </c>
      <c r="H68" s="2" t="s">
        <v>11</v>
      </c>
      <c r="I68" s="2" t="s">
        <v>12</v>
      </c>
      <c r="J68">
        <f>Online_Sales_Data[[#This Row],[Units Sold]]*Online_Sales_Data[[#This Row],[Unit Price]]</f>
        <v>1199.99</v>
      </c>
      <c r="K68" s="2">
        <f>MONTH(Online_Sales_Data[[#This Row],[Date]])</f>
        <v>3</v>
      </c>
      <c r="L68" s="2">
        <f>YEAR(Online_Sales_Data[[#This Row],[Date]])</f>
        <v>2024</v>
      </c>
      <c r="M68" s="2">
        <f t="shared" si="1"/>
        <v>3</v>
      </c>
    </row>
    <row r="69" spans="1:13" x14ac:dyDescent="0.25">
      <c r="A69">
        <v>10068</v>
      </c>
      <c r="B69" s="1">
        <v>45359</v>
      </c>
      <c r="C69" s="2" t="s">
        <v>13</v>
      </c>
      <c r="D69" s="2" t="s">
        <v>88</v>
      </c>
      <c r="E69">
        <v>3</v>
      </c>
      <c r="F69">
        <v>219.99</v>
      </c>
      <c r="G69">
        <v>659.97</v>
      </c>
      <c r="H69" s="2" t="s">
        <v>15</v>
      </c>
      <c r="I69" s="2" t="s">
        <v>16</v>
      </c>
      <c r="J69">
        <f>Online_Sales_Data[[#This Row],[Units Sold]]*Online_Sales_Data[[#This Row],[Unit Price]]</f>
        <v>659.97</v>
      </c>
      <c r="K69" s="2">
        <f>MONTH(Online_Sales_Data[[#This Row],[Date]])</f>
        <v>3</v>
      </c>
      <c r="L69" s="2">
        <f>YEAR(Online_Sales_Data[[#This Row],[Date]])</f>
        <v>2024</v>
      </c>
      <c r="M69" s="2">
        <f t="shared" si="1"/>
        <v>3</v>
      </c>
    </row>
    <row r="70" spans="1:13" x14ac:dyDescent="0.25">
      <c r="A70">
        <v>10069</v>
      </c>
      <c r="B70" s="1">
        <v>45360</v>
      </c>
      <c r="C70" s="2" t="s">
        <v>17</v>
      </c>
      <c r="D70" s="2" t="s">
        <v>89</v>
      </c>
      <c r="E70">
        <v>4</v>
      </c>
      <c r="F70">
        <v>59.99</v>
      </c>
      <c r="G70">
        <v>239.96</v>
      </c>
      <c r="H70" s="2" t="s">
        <v>19</v>
      </c>
      <c r="I70" s="2" t="s">
        <v>20</v>
      </c>
      <c r="J70">
        <f>Online_Sales_Data[[#This Row],[Units Sold]]*Online_Sales_Data[[#This Row],[Unit Price]]</f>
        <v>239.96</v>
      </c>
      <c r="K70" s="2">
        <f>MONTH(Online_Sales_Data[[#This Row],[Date]])</f>
        <v>3</v>
      </c>
      <c r="L70" s="2">
        <f>YEAR(Online_Sales_Data[[#This Row],[Date]])</f>
        <v>2024</v>
      </c>
      <c r="M70" s="2">
        <f t="shared" si="1"/>
        <v>3</v>
      </c>
    </row>
    <row r="71" spans="1:13" x14ac:dyDescent="0.25">
      <c r="A71">
        <v>10070</v>
      </c>
      <c r="B71" s="1">
        <v>45361</v>
      </c>
      <c r="C71" s="2" t="s">
        <v>21</v>
      </c>
      <c r="D71" s="2" t="s">
        <v>90</v>
      </c>
      <c r="E71">
        <v>2</v>
      </c>
      <c r="F71">
        <v>10.99</v>
      </c>
      <c r="G71">
        <v>21.98</v>
      </c>
      <c r="H71" s="2" t="s">
        <v>11</v>
      </c>
      <c r="I71" s="2" t="s">
        <v>12</v>
      </c>
      <c r="J71">
        <f>Online_Sales_Data[[#This Row],[Units Sold]]*Online_Sales_Data[[#This Row],[Unit Price]]</f>
        <v>21.98</v>
      </c>
      <c r="K71" s="2">
        <f>MONTH(Online_Sales_Data[[#This Row],[Date]])</f>
        <v>3</v>
      </c>
      <c r="L71" s="2">
        <f>YEAR(Online_Sales_Data[[#This Row],[Date]])</f>
        <v>2024</v>
      </c>
      <c r="M71" s="2">
        <f t="shared" si="1"/>
        <v>3</v>
      </c>
    </row>
    <row r="72" spans="1:13" x14ac:dyDescent="0.25">
      <c r="A72">
        <v>10071</v>
      </c>
      <c r="B72" s="1">
        <v>45362</v>
      </c>
      <c r="C72" s="2" t="s">
        <v>23</v>
      </c>
      <c r="D72" s="2" t="s">
        <v>91</v>
      </c>
      <c r="E72">
        <v>1</v>
      </c>
      <c r="F72">
        <v>78</v>
      </c>
      <c r="G72">
        <v>78</v>
      </c>
      <c r="H72" s="2" t="s">
        <v>15</v>
      </c>
      <c r="I72" s="2" t="s">
        <v>16</v>
      </c>
      <c r="J72">
        <f>Online_Sales_Data[[#This Row],[Units Sold]]*Online_Sales_Data[[#This Row],[Unit Price]]</f>
        <v>78</v>
      </c>
      <c r="K72" s="2">
        <f>MONTH(Online_Sales_Data[[#This Row],[Date]])</f>
        <v>3</v>
      </c>
      <c r="L72" s="2">
        <f>YEAR(Online_Sales_Data[[#This Row],[Date]])</f>
        <v>2024</v>
      </c>
      <c r="M72" s="2">
        <f t="shared" si="1"/>
        <v>3</v>
      </c>
    </row>
    <row r="73" spans="1:13" x14ac:dyDescent="0.25">
      <c r="A73">
        <v>10072</v>
      </c>
      <c r="B73" s="1">
        <v>45363</v>
      </c>
      <c r="C73" s="2" t="s">
        <v>25</v>
      </c>
      <c r="D73" s="2" t="s">
        <v>92</v>
      </c>
      <c r="E73">
        <v>3</v>
      </c>
      <c r="F73">
        <v>129.99</v>
      </c>
      <c r="G73">
        <v>389.97</v>
      </c>
      <c r="H73" s="2" t="s">
        <v>19</v>
      </c>
      <c r="I73" s="2" t="s">
        <v>12</v>
      </c>
      <c r="J73">
        <f>Online_Sales_Data[[#This Row],[Units Sold]]*Online_Sales_Data[[#This Row],[Unit Price]]</f>
        <v>389.97</v>
      </c>
      <c r="K73" s="2">
        <f>MONTH(Online_Sales_Data[[#This Row],[Date]])</f>
        <v>3</v>
      </c>
      <c r="L73" s="2">
        <f>YEAR(Online_Sales_Data[[#This Row],[Date]])</f>
        <v>2024</v>
      </c>
      <c r="M73" s="2">
        <f t="shared" si="1"/>
        <v>3</v>
      </c>
    </row>
    <row r="74" spans="1:13" x14ac:dyDescent="0.25">
      <c r="A74">
        <v>10073</v>
      </c>
      <c r="B74" s="1">
        <v>45364</v>
      </c>
      <c r="C74" s="2" t="s">
        <v>9</v>
      </c>
      <c r="D74" s="2" t="s">
        <v>93</v>
      </c>
      <c r="E74">
        <v>1</v>
      </c>
      <c r="F74">
        <v>1599.99</v>
      </c>
      <c r="G74">
        <v>1599.99</v>
      </c>
      <c r="H74" s="2" t="s">
        <v>11</v>
      </c>
      <c r="I74" s="2" t="s">
        <v>12</v>
      </c>
      <c r="J74">
        <f>Online_Sales_Data[[#This Row],[Units Sold]]*Online_Sales_Data[[#This Row],[Unit Price]]</f>
        <v>1599.99</v>
      </c>
      <c r="K74" s="2">
        <f>MONTH(Online_Sales_Data[[#This Row],[Date]])</f>
        <v>3</v>
      </c>
      <c r="L74" s="2">
        <f>YEAR(Online_Sales_Data[[#This Row],[Date]])</f>
        <v>2024</v>
      </c>
      <c r="M74" s="2">
        <f t="shared" si="1"/>
        <v>3</v>
      </c>
    </row>
    <row r="75" spans="1:13" x14ac:dyDescent="0.25">
      <c r="A75">
        <v>10074</v>
      </c>
      <c r="B75" s="1">
        <v>45365</v>
      </c>
      <c r="C75" s="2" t="s">
        <v>13</v>
      </c>
      <c r="D75" s="2" t="s">
        <v>94</v>
      </c>
      <c r="E75">
        <v>1</v>
      </c>
      <c r="F75">
        <v>899.99</v>
      </c>
      <c r="G75">
        <v>899.99</v>
      </c>
      <c r="H75" s="2" t="s">
        <v>15</v>
      </c>
      <c r="I75" s="2" t="s">
        <v>16</v>
      </c>
      <c r="J75">
        <f>Online_Sales_Data[[#This Row],[Units Sold]]*Online_Sales_Data[[#This Row],[Unit Price]]</f>
        <v>899.99</v>
      </c>
      <c r="K75" s="2">
        <f>MONTH(Online_Sales_Data[[#This Row],[Date]])</f>
        <v>3</v>
      </c>
      <c r="L75" s="2">
        <f>YEAR(Online_Sales_Data[[#This Row],[Date]])</f>
        <v>2024</v>
      </c>
      <c r="M75" s="2">
        <f t="shared" si="1"/>
        <v>3</v>
      </c>
    </row>
    <row r="76" spans="1:13" x14ac:dyDescent="0.25">
      <c r="A76">
        <v>10075</v>
      </c>
      <c r="B76" s="1">
        <v>45366</v>
      </c>
      <c r="C76" s="2" t="s">
        <v>17</v>
      </c>
      <c r="D76" s="2" t="s">
        <v>95</v>
      </c>
      <c r="E76">
        <v>5</v>
      </c>
      <c r="F76">
        <v>49.99</v>
      </c>
      <c r="G76">
        <v>249.95</v>
      </c>
      <c r="H76" s="2" t="s">
        <v>19</v>
      </c>
      <c r="I76" s="2" t="s">
        <v>20</v>
      </c>
      <c r="J76">
        <f>Online_Sales_Data[[#This Row],[Units Sold]]*Online_Sales_Data[[#This Row],[Unit Price]]</f>
        <v>249.95000000000002</v>
      </c>
      <c r="K76" s="2">
        <f>MONTH(Online_Sales_Data[[#This Row],[Date]])</f>
        <v>3</v>
      </c>
      <c r="L76" s="2">
        <f>YEAR(Online_Sales_Data[[#This Row],[Date]])</f>
        <v>2024</v>
      </c>
      <c r="M76" s="2">
        <f t="shared" si="1"/>
        <v>3</v>
      </c>
    </row>
    <row r="77" spans="1:13" x14ac:dyDescent="0.25">
      <c r="A77">
        <v>10076</v>
      </c>
      <c r="B77" s="1">
        <v>45367</v>
      </c>
      <c r="C77" s="2" t="s">
        <v>21</v>
      </c>
      <c r="D77" s="2" t="s">
        <v>96</v>
      </c>
      <c r="E77">
        <v>4</v>
      </c>
      <c r="F77">
        <v>14.99</v>
      </c>
      <c r="G77">
        <v>59.96</v>
      </c>
      <c r="H77" s="2" t="s">
        <v>11</v>
      </c>
      <c r="I77" s="2" t="s">
        <v>12</v>
      </c>
      <c r="J77">
        <f>Online_Sales_Data[[#This Row],[Units Sold]]*Online_Sales_Data[[#This Row],[Unit Price]]</f>
        <v>59.96</v>
      </c>
      <c r="K77" s="2">
        <f>MONTH(Online_Sales_Data[[#This Row],[Date]])</f>
        <v>3</v>
      </c>
      <c r="L77" s="2">
        <f>YEAR(Online_Sales_Data[[#This Row],[Date]])</f>
        <v>2024</v>
      </c>
      <c r="M77" s="2">
        <f t="shared" si="1"/>
        <v>3</v>
      </c>
    </row>
    <row r="78" spans="1:13" x14ac:dyDescent="0.25">
      <c r="A78">
        <v>10077</v>
      </c>
      <c r="B78" s="1">
        <v>45368</v>
      </c>
      <c r="C78" s="2" t="s">
        <v>23</v>
      </c>
      <c r="D78" s="2" t="s">
        <v>97</v>
      </c>
      <c r="E78">
        <v>2</v>
      </c>
      <c r="F78">
        <v>16</v>
      </c>
      <c r="G78">
        <v>32</v>
      </c>
      <c r="H78" s="2" t="s">
        <v>15</v>
      </c>
      <c r="I78" s="2" t="s">
        <v>16</v>
      </c>
      <c r="J78">
        <f>Online_Sales_Data[[#This Row],[Units Sold]]*Online_Sales_Data[[#This Row],[Unit Price]]</f>
        <v>32</v>
      </c>
      <c r="K78" s="2">
        <f>MONTH(Online_Sales_Data[[#This Row],[Date]])</f>
        <v>3</v>
      </c>
      <c r="L78" s="2">
        <f>YEAR(Online_Sales_Data[[#This Row],[Date]])</f>
        <v>2024</v>
      </c>
      <c r="M78" s="2">
        <f t="shared" si="1"/>
        <v>3</v>
      </c>
    </row>
    <row r="79" spans="1:13" x14ac:dyDescent="0.25">
      <c r="A79">
        <v>10078</v>
      </c>
      <c r="B79" s="1">
        <v>45369</v>
      </c>
      <c r="C79" s="2" t="s">
        <v>25</v>
      </c>
      <c r="D79" s="2" t="s">
        <v>98</v>
      </c>
      <c r="E79">
        <v>3</v>
      </c>
      <c r="F79">
        <v>69.989999999999995</v>
      </c>
      <c r="G79">
        <v>209.97</v>
      </c>
      <c r="H79" s="2" t="s">
        <v>19</v>
      </c>
      <c r="I79" s="2" t="s">
        <v>12</v>
      </c>
      <c r="J79">
        <f>Online_Sales_Data[[#This Row],[Units Sold]]*Online_Sales_Data[[#This Row],[Unit Price]]</f>
        <v>209.96999999999997</v>
      </c>
      <c r="K79" s="2">
        <f>MONTH(Online_Sales_Data[[#This Row],[Date]])</f>
        <v>3</v>
      </c>
      <c r="L79" s="2">
        <f>YEAR(Online_Sales_Data[[#This Row],[Date]])</f>
        <v>2024</v>
      </c>
      <c r="M79" s="2">
        <f t="shared" si="1"/>
        <v>3</v>
      </c>
    </row>
    <row r="80" spans="1:13" x14ac:dyDescent="0.25">
      <c r="A80">
        <v>10079</v>
      </c>
      <c r="B80" s="1">
        <v>45370</v>
      </c>
      <c r="C80" s="2" t="s">
        <v>9</v>
      </c>
      <c r="D80" s="2" t="s">
        <v>99</v>
      </c>
      <c r="E80">
        <v>2</v>
      </c>
      <c r="F80">
        <v>249.99</v>
      </c>
      <c r="G80">
        <v>499.98</v>
      </c>
      <c r="H80" s="2" t="s">
        <v>11</v>
      </c>
      <c r="I80" s="2" t="s">
        <v>12</v>
      </c>
      <c r="J80">
        <f>Online_Sales_Data[[#This Row],[Units Sold]]*Online_Sales_Data[[#This Row],[Unit Price]]</f>
        <v>499.98</v>
      </c>
      <c r="K80" s="2">
        <f>MONTH(Online_Sales_Data[[#This Row],[Date]])</f>
        <v>3</v>
      </c>
      <c r="L80" s="2">
        <f>YEAR(Online_Sales_Data[[#This Row],[Date]])</f>
        <v>2024</v>
      </c>
      <c r="M80" s="2">
        <f t="shared" si="1"/>
        <v>3</v>
      </c>
    </row>
    <row r="81" spans="1:13" x14ac:dyDescent="0.25">
      <c r="A81">
        <v>10080</v>
      </c>
      <c r="B81" s="1">
        <v>45371</v>
      </c>
      <c r="C81" s="2" t="s">
        <v>13</v>
      </c>
      <c r="D81" s="2" t="s">
        <v>100</v>
      </c>
      <c r="E81">
        <v>1</v>
      </c>
      <c r="F81">
        <v>499.99</v>
      </c>
      <c r="G81">
        <v>499.99</v>
      </c>
      <c r="H81" s="2" t="s">
        <v>15</v>
      </c>
      <c r="I81" s="2" t="s">
        <v>16</v>
      </c>
      <c r="J81">
        <f>Online_Sales_Data[[#This Row],[Units Sold]]*Online_Sales_Data[[#This Row],[Unit Price]]</f>
        <v>499.99</v>
      </c>
      <c r="K81" s="2">
        <f>MONTH(Online_Sales_Data[[#This Row],[Date]])</f>
        <v>3</v>
      </c>
      <c r="L81" s="2">
        <f>YEAR(Online_Sales_Data[[#This Row],[Date]])</f>
        <v>2024</v>
      </c>
      <c r="M81" s="2">
        <f t="shared" si="1"/>
        <v>3</v>
      </c>
    </row>
    <row r="82" spans="1:13" x14ac:dyDescent="0.25">
      <c r="A82">
        <v>10081</v>
      </c>
      <c r="B82" s="1">
        <v>45372</v>
      </c>
      <c r="C82" s="2" t="s">
        <v>17</v>
      </c>
      <c r="D82" s="2" t="s">
        <v>101</v>
      </c>
      <c r="E82">
        <v>2</v>
      </c>
      <c r="F82">
        <v>89.99</v>
      </c>
      <c r="G82">
        <v>179.98</v>
      </c>
      <c r="H82" s="2" t="s">
        <v>19</v>
      </c>
      <c r="I82" s="2" t="s">
        <v>20</v>
      </c>
      <c r="J82">
        <f>Online_Sales_Data[[#This Row],[Units Sold]]*Online_Sales_Data[[#This Row],[Unit Price]]</f>
        <v>179.98</v>
      </c>
      <c r="K82" s="2">
        <f>MONTH(Online_Sales_Data[[#This Row],[Date]])</f>
        <v>3</v>
      </c>
      <c r="L82" s="2">
        <f>YEAR(Online_Sales_Data[[#This Row],[Date]])</f>
        <v>2024</v>
      </c>
      <c r="M82" s="2">
        <f t="shared" si="1"/>
        <v>3</v>
      </c>
    </row>
    <row r="83" spans="1:13" x14ac:dyDescent="0.25">
      <c r="A83">
        <v>10082</v>
      </c>
      <c r="B83" s="1">
        <v>45373</v>
      </c>
      <c r="C83" s="2" t="s">
        <v>21</v>
      </c>
      <c r="D83" s="2" t="s">
        <v>102</v>
      </c>
      <c r="E83">
        <v>3</v>
      </c>
      <c r="F83">
        <v>12.99</v>
      </c>
      <c r="G83">
        <v>38.97</v>
      </c>
      <c r="H83" s="2" t="s">
        <v>11</v>
      </c>
      <c r="I83" s="2" t="s">
        <v>12</v>
      </c>
      <c r="J83">
        <f>Online_Sales_Data[[#This Row],[Units Sold]]*Online_Sales_Data[[#This Row],[Unit Price]]</f>
        <v>38.97</v>
      </c>
      <c r="K83" s="2">
        <f>MONTH(Online_Sales_Data[[#This Row],[Date]])</f>
        <v>3</v>
      </c>
      <c r="L83" s="2">
        <f>YEAR(Online_Sales_Data[[#This Row],[Date]])</f>
        <v>2024</v>
      </c>
      <c r="M83" s="2">
        <f t="shared" si="1"/>
        <v>3</v>
      </c>
    </row>
    <row r="84" spans="1:13" x14ac:dyDescent="0.25">
      <c r="A84">
        <v>10083</v>
      </c>
      <c r="B84" s="1">
        <v>45374</v>
      </c>
      <c r="C84" s="2" t="s">
        <v>23</v>
      </c>
      <c r="D84" s="2" t="s">
        <v>103</v>
      </c>
      <c r="E84">
        <v>1</v>
      </c>
      <c r="F84">
        <v>100</v>
      </c>
      <c r="G84">
        <v>100</v>
      </c>
      <c r="H84" s="2" t="s">
        <v>15</v>
      </c>
      <c r="I84" s="2" t="s">
        <v>16</v>
      </c>
      <c r="J84">
        <f>Online_Sales_Data[[#This Row],[Units Sold]]*Online_Sales_Data[[#This Row],[Unit Price]]</f>
        <v>100</v>
      </c>
      <c r="K84" s="2">
        <f>MONTH(Online_Sales_Data[[#This Row],[Date]])</f>
        <v>3</v>
      </c>
      <c r="L84" s="2">
        <f>YEAR(Online_Sales_Data[[#This Row],[Date]])</f>
        <v>2024</v>
      </c>
      <c r="M84" s="2">
        <f t="shared" si="1"/>
        <v>3</v>
      </c>
    </row>
    <row r="85" spans="1:13" x14ac:dyDescent="0.25">
      <c r="A85">
        <v>10084</v>
      </c>
      <c r="B85" s="1">
        <v>45375</v>
      </c>
      <c r="C85" s="2" t="s">
        <v>25</v>
      </c>
      <c r="D85" s="2" t="s">
        <v>104</v>
      </c>
      <c r="E85">
        <v>6</v>
      </c>
      <c r="F85">
        <v>24.99</v>
      </c>
      <c r="G85">
        <v>149.94</v>
      </c>
      <c r="H85" s="2" t="s">
        <v>19</v>
      </c>
      <c r="I85" s="2" t="s">
        <v>12</v>
      </c>
      <c r="J85">
        <f>Online_Sales_Data[[#This Row],[Units Sold]]*Online_Sales_Data[[#This Row],[Unit Price]]</f>
        <v>149.94</v>
      </c>
      <c r="K85" s="2">
        <f>MONTH(Online_Sales_Data[[#This Row],[Date]])</f>
        <v>3</v>
      </c>
      <c r="L85" s="2">
        <f>YEAR(Online_Sales_Data[[#This Row],[Date]])</f>
        <v>2024</v>
      </c>
      <c r="M85" s="2">
        <f t="shared" si="1"/>
        <v>3</v>
      </c>
    </row>
    <row r="86" spans="1:13" x14ac:dyDescent="0.25">
      <c r="A86">
        <v>10085</v>
      </c>
      <c r="B86" s="1">
        <v>45376</v>
      </c>
      <c r="C86" s="2" t="s">
        <v>9</v>
      </c>
      <c r="D86" s="2" t="s">
        <v>105</v>
      </c>
      <c r="E86">
        <v>1</v>
      </c>
      <c r="F86">
        <v>99.99</v>
      </c>
      <c r="G86">
        <v>99.99</v>
      </c>
      <c r="H86" s="2" t="s">
        <v>11</v>
      </c>
      <c r="I86" s="2" t="s">
        <v>12</v>
      </c>
      <c r="J86">
        <f>Online_Sales_Data[[#This Row],[Units Sold]]*Online_Sales_Data[[#This Row],[Unit Price]]</f>
        <v>99.99</v>
      </c>
      <c r="K86" s="2">
        <f>MONTH(Online_Sales_Data[[#This Row],[Date]])</f>
        <v>3</v>
      </c>
      <c r="L86" s="2">
        <f>YEAR(Online_Sales_Data[[#This Row],[Date]])</f>
        <v>2024</v>
      </c>
      <c r="M86" s="2">
        <f t="shared" si="1"/>
        <v>3</v>
      </c>
    </row>
    <row r="87" spans="1:13" x14ac:dyDescent="0.25">
      <c r="A87">
        <v>10086</v>
      </c>
      <c r="B87" s="1">
        <v>45377</v>
      </c>
      <c r="C87" s="2" t="s">
        <v>13</v>
      </c>
      <c r="D87" s="2" t="s">
        <v>106</v>
      </c>
      <c r="E87">
        <v>2</v>
      </c>
      <c r="F87">
        <v>1299.99</v>
      </c>
      <c r="G87">
        <v>2599.98</v>
      </c>
      <c r="H87" s="2" t="s">
        <v>15</v>
      </c>
      <c r="I87" s="2" t="s">
        <v>16</v>
      </c>
      <c r="J87">
        <f>Online_Sales_Data[[#This Row],[Units Sold]]*Online_Sales_Data[[#This Row],[Unit Price]]</f>
        <v>2599.98</v>
      </c>
      <c r="K87" s="2">
        <f>MONTH(Online_Sales_Data[[#This Row],[Date]])</f>
        <v>3</v>
      </c>
      <c r="L87" s="2">
        <f>YEAR(Online_Sales_Data[[#This Row],[Date]])</f>
        <v>2024</v>
      </c>
      <c r="M87" s="2">
        <f t="shared" si="1"/>
        <v>3</v>
      </c>
    </row>
    <row r="88" spans="1:13" x14ac:dyDescent="0.25">
      <c r="A88">
        <v>10087</v>
      </c>
      <c r="B88" s="1">
        <v>45378</v>
      </c>
      <c r="C88" s="2" t="s">
        <v>17</v>
      </c>
      <c r="D88" s="2" t="s">
        <v>107</v>
      </c>
      <c r="E88">
        <v>3</v>
      </c>
      <c r="F88">
        <v>79.989999999999995</v>
      </c>
      <c r="G88">
        <v>239.97</v>
      </c>
      <c r="H88" s="2" t="s">
        <v>19</v>
      </c>
      <c r="I88" s="2" t="s">
        <v>20</v>
      </c>
      <c r="J88">
        <f>Online_Sales_Data[[#This Row],[Units Sold]]*Online_Sales_Data[[#This Row],[Unit Price]]</f>
        <v>239.96999999999997</v>
      </c>
      <c r="K88" s="2">
        <f>MONTH(Online_Sales_Data[[#This Row],[Date]])</f>
        <v>3</v>
      </c>
      <c r="L88" s="2">
        <f>YEAR(Online_Sales_Data[[#This Row],[Date]])</f>
        <v>2024</v>
      </c>
      <c r="M88" s="2">
        <f t="shared" si="1"/>
        <v>3</v>
      </c>
    </row>
    <row r="89" spans="1:13" x14ac:dyDescent="0.25">
      <c r="A89">
        <v>10088</v>
      </c>
      <c r="B89" s="1">
        <v>45379</v>
      </c>
      <c r="C89" s="2" t="s">
        <v>21</v>
      </c>
      <c r="D89" s="2" t="s">
        <v>108</v>
      </c>
      <c r="E89">
        <v>4</v>
      </c>
      <c r="F89">
        <v>13.99</v>
      </c>
      <c r="G89">
        <v>55.96</v>
      </c>
      <c r="H89" s="2" t="s">
        <v>11</v>
      </c>
      <c r="I89" s="2" t="s">
        <v>12</v>
      </c>
      <c r="J89">
        <f>Online_Sales_Data[[#This Row],[Units Sold]]*Online_Sales_Data[[#This Row],[Unit Price]]</f>
        <v>55.96</v>
      </c>
      <c r="K89" s="2">
        <f>MONTH(Online_Sales_Data[[#This Row],[Date]])</f>
        <v>3</v>
      </c>
      <c r="L89" s="2">
        <f>YEAR(Online_Sales_Data[[#This Row],[Date]])</f>
        <v>2024</v>
      </c>
      <c r="M89" s="2">
        <f t="shared" si="1"/>
        <v>3</v>
      </c>
    </row>
    <row r="90" spans="1:13" x14ac:dyDescent="0.25">
      <c r="A90">
        <v>10089</v>
      </c>
      <c r="B90" s="1">
        <v>45380</v>
      </c>
      <c r="C90" s="2" t="s">
        <v>23</v>
      </c>
      <c r="D90" s="2" t="s">
        <v>109</v>
      </c>
      <c r="E90">
        <v>1</v>
      </c>
      <c r="F90">
        <v>105</v>
      </c>
      <c r="G90">
        <v>105</v>
      </c>
      <c r="H90" s="2" t="s">
        <v>15</v>
      </c>
      <c r="I90" s="2" t="s">
        <v>16</v>
      </c>
      <c r="J90">
        <f>Online_Sales_Data[[#This Row],[Units Sold]]*Online_Sales_Data[[#This Row],[Unit Price]]</f>
        <v>105</v>
      </c>
      <c r="K90" s="2">
        <f>MONTH(Online_Sales_Data[[#This Row],[Date]])</f>
        <v>3</v>
      </c>
      <c r="L90" s="2">
        <f>YEAR(Online_Sales_Data[[#This Row],[Date]])</f>
        <v>2024</v>
      </c>
      <c r="M90" s="2">
        <f t="shared" si="1"/>
        <v>3</v>
      </c>
    </row>
    <row r="91" spans="1:13" x14ac:dyDescent="0.25">
      <c r="A91">
        <v>10090</v>
      </c>
      <c r="B91" s="1">
        <v>45381</v>
      </c>
      <c r="C91" s="2" t="s">
        <v>25</v>
      </c>
      <c r="D91" s="2" t="s">
        <v>110</v>
      </c>
      <c r="E91">
        <v>2</v>
      </c>
      <c r="F91">
        <v>129.99</v>
      </c>
      <c r="G91">
        <v>259.98</v>
      </c>
      <c r="H91" s="2" t="s">
        <v>19</v>
      </c>
      <c r="I91" s="2" t="s">
        <v>12</v>
      </c>
      <c r="J91">
        <f>Online_Sales_Data[[#This Row],[Units Sold]]*Online_Sales_Data[[#This Row],[Unit Price]]</f>
        <v>259.98</v>
      </c>
      <c r="K91" s="2">
        <f>MONTH(Online_Sales_Data[[#This Row],[Date]])</f>
        <v>3</v>
      </c>
      <c r="L91" s="2">
        <f>YEAR(Online_Sales_Data[[#This Row],[Date]])</f>
        <v>2024</v>
      </c>
      <c r="M91" s="2">
        <f t="shared" si="1"/>
        <v>3.3333333333333335</v>
      </c>
    </row>
    <row r="92" spans="1:13" x14ac:dyDescent="0.25">
      <c r="A92">
        <v>10091</v>
      </c>
      <c r="B92" s="1">
        <v>45382</v>
      </c>
      <c r="C92" s="2" t="s">
        <v>9</v>
      </c>
      <c r="D92" s="2" t="s">
        <v>111</v>
      </c>
      <c r="E92">
        <v>2</v>
      </c>
      <c r="F92">
        <v>99.99</v>
      </c>
      <c r="G92">
        <v>199.98</v>
      </c>
      <c r="H92" s="2" t="s">
        <v>11</v>
      </c>
      <c r="I92" s="2" t="s">
        <v>12</v>
      </c>
      <c r="J92">
        <f>Online_Sales_Data[[#This Row],[Units Sold]]*Online_Sales_Data[[#This Row],[Unit Price]]</f>
        <v>199.98</v>
      </c>
      <c r="K92" s="2">
        <f>MONTH(Online_Sales_Data[[#This Row],[Date]])</f>
        <v>3</v>
      </c>
      <c r="L92" s="2">
        <f>YEAR(Online_Sales_Data[[#This Row],[Date]])</f>
        <v>2024</v>
      </c>
      <c r="M92" s="2">
        <f t="shared" si="1"/>
        <v>3.6666666666666665</v>
      </c>
    </row>
    <row r="93" spans="1:13" x14ac:dyDescent="0.25">
      <c r="A93">
        <v>10092</v>
      </c>
      <c r="B93" s="1">
        <v>45383</v>
      </c>
      <c r="C93" s="2" t="s">
        <v>13</v>
      </c>
      <c r="D93" s="2" t="s">
        <v>112</v>
      </c>
      <c r="E93">
        <v>1</v>
      </c>
      <c r="F93">
        <v>179.99</v>
      </c>
      <c r="G93">
        <v>179.99</v>
      </c>
      <c r="H93" s="2" t="s">
        <v>15</v>
      </c>
      <c r="I93" s="2" t="s">
        <v>16</v>
      </c>
      <c r="J93">
        <f>Online_Sales_Data[[#This Row],[Units Sold]]*Online_Sales_Data[[#This Row],[Unit Price]]</f>
        <v>179.99</v>
      </c>
      <c r="K93" s="2">
        <f>MONTH(Online_Sales_Data[[#This Row],[Date]])</f>
        <v>4</v>
      </c>
      <c r="L93" s="2">
        <f>YEAR(Online_Sales_Data[[#This Row],[Date]])</f>
        <v>2024</v>
      </c>
      <c r="M93" s="2">
        <f t="shared" si="1"/>
        <v>4</v>
      </c>
    </row>
    <row r="94" spans="1:13" x14ac:dyDescent="0.25">
      <c r="A94">
        <v>10093</v>
      </c>
      <c r="B94" s="1">
        <v>45384</v>
      </c>
      <c r="C94" s="2" t="s">
        <v>17</v>
      </c>
      <c r="D94" s="2" t="s">
        <v>113</v>
      </c>
      <c r="E94">
        <v>4</v>
      </c>
      <c r="F94">
        <v>79.989999999999995</v>
      </c>
      <c r="G94">
        <v>319.95999999999998</v>
      </c>
      <c r="H94" s="2" t="s">
        <v>19</v>
      </c>
      <c r="I94" s="2" t="s">
        <v>20</v>
      </c>
      <c r="J94">
        <f>Online_Sales_Data[[#This Row],[Units Sold]]*Online_Sales_Data[[#This Row],[Unit Price]]</f>
        <v>319.95999999999998</v>
      </c>
      <c r="K94" s="2">
        <f>MONTH(Online_Sales_Data[[#This Row],[Date]])</f>
        <v>4</v>
      </c>
      <c r="L94" s="2">
        <f>YEAR(Online_Sales_Data[[#This Row],[Date]])</f>
        <v>2024</v>
      </c>
      <c r="M94" s="2">
        <f t="shared" si="1"/>
        <v>4</v>
      </c>
    </row>
    <row r="95" spans="1:13" x14ac:dyDescent="0.25">
      <c r="A95">
        <v>10094</v>
      </c>
      <c r="B95" s="1">
        <v>45385</v>
      </c>
      <c r="C95" s="2" t="s">
        <v>21</v>
      </c>
      <c r="D95" s="2" t="s">
        <v>114</v>
      </c>
      <c r="E95">
        <v>3</v>
      </c>
      <c r="F95">
        <v>14.99</v>
      </c>
      <c r="G95">
        <v>44.97</v>
      </c>
      <c r="H95" s="2" t="s">
        <v>11</v>
      </c>
      <c r="I95" s="2" t="s">
        <v>12</v>
      </c>
      <c r="J95">
        <f>Online_Sales_Data[[#This Row],[Units Sold]]*Online_Sales_Data[[#This Row],[Unit Price]]</f>
        <v>44.97</v>
      </c>
      <c r="K95" s="2">
        <f>MONTH(Online_Sales_Data[[#This Row],[Date]])</f>
        <v>4</v>
      </c>
      <c r="L95" s="2">
        <f>YEAR(Online_Sales_Data[[#This Row],[Date]])</f>
        <v>2024</v>
      </c>
      <c r="M95" s="2">
        <f t="shared" si="1"/>
        <v>4</v>
      </c>
    </row>
    <row r="96" spans="1:13" x14ac:dyDescent="0.25">
      <c r="A96">
        <v>10095</v>
      </c>
      <c r="B96" s="1">
        <v>45386</v>
      </c>
      <c r="C96" s="2" t="s">
        <v>23</v>
      </c>
      <c r="D96" s="2" t="s">
        <v>115</v>
      </c>
      <c r="E96">
        <v>1</v>
      </c>
      <c r="F96">
        <v>68</v>
      </c>
      <c r="G96">
        <v>68</v>
      </c>
      <c r="H96" s="2" t="s">
        <v>15</v>
      </c>
      <c r="I96" s="2" t="s">
        <v>16</v>
      </c>
      <c r="J96">
        <f>Online_Sales_Data[[#This Row],[Units Sold]]*Online_Sales_Data[[#This Row],[Unit Price]]</f>
        <v>68</v>
      </c>
      <c r="K96" s="2">
        <f>MONTH(Online_Sales_Data[[#This Row],[Date]])</f>
        <v>4</v>
      </c>
      <c r="L96" s="2">
        <f>YEAR(Online_Sales_Data[[#This Row],[Date]])</f>
        <v>2024</v>
      </c>
      <c r="M96" s="2">
        <f t="shared" si="1"/>
        <v>4</v>
      </c>
    </row>
    <row r="97" spans="1:13" x14ac:dyDescent="0.25">
      <c r="A97">
        <v>10096</v>
      </c>
      <c r="B97" s="1">
        <v>45387</v>
      </c>
      <c r="C97" s="2" t="s">
        <v>25</v>
      </c>
      <c r="D97" s="2" t="s">
        <v>116</v>
      </c>
      <c r="E97">
        <v>1</v>
      </c>
      <c r="F97">
        <v>999.99</v>
      </c>
      <c r="G97">
        <v>999.99</v>
      </c>
      <c r="H97" s="2" t="s">
        <v>19</v>
      </c>
      <c r="I97" s="2" t="s">
        <v>12</v>
      </c>
      <c r="J97">
        <f>Online_Sales_Data[[#This Row],[Units Sold]]*Online_Sales_Data[[#This Row],[Unit Price]]</f>
        <v>999.99</v>
      </c>
      <c r="K97" s="2">
        <f>MONTH(Online_Sales_Data[[#This Row],[Date]])</f>
        <v>4</v>
      </c>
      <c r="L97" s="2">
        <f>YEAR(Online_Sales_Data[[#This Row],[Date]])</f>
        <v>2024</v>
      </c>
      <c r="M97" s="2">
        <f t="shared" si="1"/>
        <v>4</v>
      </c>
    </row>
    <row r="98" spans="1:13" x14ac:dyDescent="0.25">
      <c r="A98">
        <v>10097</v>
      </c>
      <c r="B98" s="1">
        <v>45388</v>
      </c>
      <c r="C98" s="2" t="s">
        <v>9</v>
      </c>
      <c r="D98" s="2" t="s">
        <v>117</v>
      </c>
      <c r="E98">
        <v>3</v>
      </c>
      <c r="F98">
        <v>299.99</v>
      </c>
      <c r="G98">
        <v>899.97</v>
      </c>
      <c r="H98" s="2" t="s">
        <v>11</v>
      </c>
      <c r="I98" s="2" t="s">
        <v>12</v>
      </c>
      <c r="J98">
        <f>Online_Sales_Data[[#This Row],[Units Sold]]*Online_Sales_Data[[#This Row],[Unit Price]]</f>
        <v>899.97</v>
      </c>
      <c r="K98" s="2">
        <f>MONTH(Online_Sales_Data[[#This Row],[Date]])</f>
        <v>4</v>
      </c>
      <c r="L98" s="2">
        <f>YEAR(Online_Sales_Data[[#This Row],[Date]])</f>
        <v>2024</v>
      </c>
      <c r="M98" s="2">
        <f t="shared" si="1"/>
        <v>4</v>
      </c>
    </row>
    <row r="99" spans="1:13" x14ac:dyDescent="0.25">
      <c r="A99">
        <v>10098</v>
      </c>
      <c r="B99" s="1">
        <v>45389</v>
      </c>
      <c r="C99" s="2" t="s">
        <v>13</v>
      </c>
      <c r="D99" s="2" t="s">
        <v>118</v>
      </c>
      <c r="E99">
        <v>1</v>
      </c>
      <c r="F99">
        <v>349.99</v>
      </c>
      <c r="G99">
        <v>349.99</v>
      </c>
      <c r="H99" s="2" t="s">
        <v>15</v>
      </c>
      <c r="I99" s="2" t="s">
        <v>16</v>
      </c>
      <c r="J99">
        <f>Online_Sales_Data[[#This Row],[Units Sold]]*Online_Sales_Data[[#This Row],[Unit Price]]</f>
        <v>349.99</v>
      </c>
      <c r="K99" s="2">
        <f>MONTH(Online_Sales_Data[[#This Row],[Date]])</f>
        <v>4</v>
      </c>
      <c r="L99" s="2">
        <f>YEAR(Online_Sales_Data[[#This Row],[Date]])</f>
        <v>2024</v>
      </c>
      <c r="M99" s="2">
        <f t="shared" si="1"/>
        <v>4</v>
      </c>
    </row>
    <row r="100" spans="1:13" x14ac:dyDescent="0.25">
      <c r="A100">
        <v>10099</v>
      </c>
      <c r="B100" s="1">
        <v>45390</v>
      </c>
      <c r="C100" s="2" t="s">
        <v>17</v>
      </c>
      <c r="D100" s="2" t="s">
        <v>119</v>
      </c>
      <c r="E100">
        <v>6</v>
      </c>
      <c r="F100">
        <v>19.989999999999998</v>
      </c>
      <c r="G100">
        <v>119.94</v>
      </c>
      <c r="H100" s="2" t="s">
        <v>19</v>
      </c>
      <c r="I100" s="2" t="s">
        <v>20</v>
      </c>
      <c r="J100">
        <f>Online_Sales_Data[[#This Row],[Units Sold]]*Online_Sales_Data[[#This Row],[Unit Price]]</f>
        <v>119.94</v>
      </c>
      <c r="K100" s="2">
        <f>MONTH(Online_Sales_Data[[#This Row],[Date]])</f>
        <v>4</v>
      </c>
      <c r="L100" s="2">
        <f>YEAR(Online_Sales_Data[[#This Row],[Date]])</f>
        <v>2024</v>
      </c>
      <c r="M100" s="2">
        <f t="shared" si="1"/>
        <v>4</v>
      </c>
    </row>
    <row r="101" spans="1:13" x14ac:dyDescent="0.25">
      <c r="A101">
        <v>10100</v>
      </c>
      <c r="B101" s="1">
        <v>45391</v>
      </c>
      <c r="C101" s="2" t="s">
        <v>21</v>
      </c>
      <c r="D101" s="2" t="s">
        <v>120</v>
      </c>
      <c r="E101">
        <v>2</v>
      </c>
      <c r="F101">
        <v>12.99</v>
      </c>
      <c r="G101">
        <v>25.98</v>
      </c>
      <c r="H101" s="2" t="s">
        <v>11</v>
      </c>
      <c r="I101" s="2" t="s">
        <v>12</v>
      </c>
      <c r="J101">
        <f>Online_Sales_Data[[#This Row],[Units Sold]]*Online_Sales_Data[[#This Row],[Unit Price]]</f>
        <v>25.98</v>
      </c>
      <c r="K101" s="2">
        <f>MONTH(Online_Sales_Data[[#This Row],[Date]])</f>
        <v>4</v>
      </c>
      <c r="L101" s="2">
        <f>YEAR(Online_Sales_Data[[#This Row],[Date]])</f>
        <v>2024</v>
      </c>
      <c r="M101" s="2">
        <f t="shared" si="1"/>
        <v>4</v>
      </c>
    </row>
    <row r="102" spans="1:13" x14ac:dyDescent="0.25">
      <c r="A102">
        <v>10101</v>
      </c>
      <c r="B102" s="1">
        <v>45392</v>
      </c>
      <c r="C102" s="2" t="s">
        <v>23</v>
      </c>
      <c r="D102" s="2" t="s">
        <v>121</v>
      </c>
      <c r="E102">
        <v>1</v>
      </c>
      <c r="F102">
        <v>82</v>
      </c>
      <c r="G102">
        <v>82</v>
      </c>
      <c r="H102" s="2" t="s">
        <v>15</v>
      </c>
      <c r="I102" s="2" t="s">
        <v>16</v>
      </c>
      <c r="J102">
        <f>Online_Sales_Data[[#This Row],[Units Sold]]*Online_Sales_Data[[#This Row],[Unit Price]]</f>
        <v>82</v>
      </c>
      <c r="K102" s="2">
        <f>MONTH(Online_Sales_Data[[#This Row],[Date]])</f>
        <v>4</v>
      </c>
      <c r="L102" s="2">
        <f>YEAR(Online_Sales_Data[[#This Row],[Date]])</f>
        <v>2024</v>
      </c>
      <c r="M102" s="2">
        <f t="shared" si="1"/>
        <v>4</v>
      </c>
    </row>
    <row r="103" spans="1:13" x14ac:dyDescent="0.25">
      <c r="A103">
        <v>10102</v>
      </c>
      <c r="B103" s="1">
        <v>45393</v>
      </c>
      <c r="C103" s="2" t="s">
        <v>25</v>
      </c>
      <c r="D103" s="2" t="s">
        <v>122</v>
      </c>
      <c r="E103">
        <v>2</v>
      </c>
      <c r="F103">
        <v>109.99</v>
      </c>
      <c r="G103">
        <v>219.98</v>
      </c>
      <c r="H103" s="2" t="s">
        <v>19</v>
      </c>
      <c r="I103" s="2" t="s">
        <v>12</v>
      </c>
      <c r="J103">
        <f>Online_Sales_Data[[#This Row],[Units Sold]]*Online_Sales_Data[[#This Row],[Unit Price]]</f>
        <v>219.98</v>
      </c>
      <c r="K103" s="2">
        <f>MONTH(Online_Sales_Data[[#This Row],[Date]])</f>
        <v>4</v>
      </c>
      <c r="L103" s="2">
        <f>YEAR(Online_Sales_Data[[#This Row],[Date]])</f>
        <v>2024</v>
      </c>
      <c r="M103" s="2">
        <f t="shared" si="1"/>
        <v>4</v>
      </c>
    </row>
    <row r="104" spans="1:13" x14ac:dyDescent="0.25">
      <c r="A104">
        <v>10103</v>
      </c>
      <c r="B104" s="1">
        <v>45394</v>
      </c>
      <c r="C104" s="2" t="s">
        <v>9</v>
      </c>
      <c r="D104" s="2" t="s">
        <v>123</v>
      </c>
      <c r="E104">
        <v>1</v>
      </c>
      <c r="F104">
        <v>3899.99</v>
      </c>
      <c r="G104">
        <v>3899.99</v>
      </c>
      <c r="H104" s="2" t="s">
        <v>11</v>
      </c>
      <c r="I104" s="2" t="s">
        <v>12</v>
      </c>
      <c r="J104">
        <f>Online_Sales_Data[[#This Row],[Units Sold]]*Online_Sales_Data[[#This Row],[Unit Price]]</f>
        <v>3899.99</v>
      </c>
      <c r="K104" s="2">
        <f>MONTH(Online_Sales_Data[[#This Row],[Date]])</f>
        <v>4</v>
      </c>
      <c r="L104" s="2">
        <f>YEAR(Online_Sales_Data[[#This Row],[Date]])</f>
        <v>2024</v>
      </c>
      <c r="M104" s="2">
        <f t="shared" si="1"/>
        <v>4</v>
      </c>
    </row>
    <row r="105" spans="1:13" x14ac:dyDescent="0.25">
      <c r="A105">
        <v>10104</v>
      </c>
      <c r="B105" s="1">
        <v>45395</v>
      </c>
      <c r="C105" s="2" t="s">
        <v>13</v>
      </c>
      <c r="D105" s="2" t="s">
        <v>124</v>
      </c>
      <c r="E105">
        <v>2</v>
      </c>
      <c r="F105">
        <v>349.99</v>
      </c>
      <c r="G105">
        <v>699.98</v>
      </c>
      <c r="H105" s="2" t="s">
        <v>15</v>
      </c>
      <c r="I105" s="2" t="s">
        <v>16</v>
      </c>
      <c r="J105">
        <f>Online_Sales_Data[[#This Row],[Units Sold]]*Online_Sales_Data[[#This Row],[Unit Price]]</f>
        <v>699.98</v>
      </c>
      <c r="K105" s="2">
        <f>MONTH(Online_Sales_Data[[#This Row],[Date]])</f>
        <v>4</v>
      </c>
      <c r="L105" s="2">
        <f>YEAR(Online_Sales_Data[[#This Row],[Date]])</f>
        <v>2024</v>
      </c>
      <c r="M105" s="2">
        <f t="shared" si="1"/>
        <v>4</v>
      </c>
    </row>
    <row r="106" spans="1:13" x14ac:dyDescent="0.25">
      <c r="A106">
        <v>10105</v>
      </c>
      <c r="B106" s="1">
        <v>45396</v>
      </c>
      <c r="C106" s="2" t="s">
        <v>17</v>
      </c>
      <c r="D106" s="2" t="s">
        <v>125</v>
      </c>
      <c r="E106">
        <v>3</v>
      </c>
      <c r="F106">
        <v>39.99</v>
      </c>
      <c r="G106">
        <v>119.97</v>
      </c>
      <c r="H106" s="2" t="s">
        <v>19</v>
      </c>
      <c r="I106" s="2" t="s">
        <v>20</v>
      </c>
      <c r="J106">
        <f>Online_Sales_Data[[#This Row],[Units Sold]]*Online_Sales_Data[[#This Row],[Unit Price]]</f>
        <v>119.97</v>
      </c>
      <c r="K106" s="2">
        <f>MONTH(Online_Sales_Data[[#This Row],[Date]])</f>
        <v>4</v>
      </c>
      <c r="L106" s="2">
        <f>YEAR(Online_Sales_Data[[#This Row],[Date]])</f>
        <v>2024</v>
      </c>
      <c r="M106" s="2">
        <f t="shared" si="1"/>
        <v>4</v>
      </c>
    </row>
    <row r="107" spans="1:13" x14ac:dyDescent="0.25">
      <c r="A107">
        <v>10106</v>
      </c>
      <c r="B107" s="1">
        <v>45397</v>
      </c>
      <c r="C107" s="2" t="s">
        <v>21</v>
      </c>
      <c r="D107" s="2" t="s">
        <v>126</v>
      </c>
      <c r="E107">
        <v>4</v>
      </c>
      <c r="F107">
        <v>10.99</v>
      </c>
      <c r="G107">
        <v>43.96</v>
      </c>
      <c r="H107" s="2" t="s">
        <v>11</v>
      </c>
      <c r="I107" s="2" t="s">
        <v>12</v>
      </c>
      <c r="J107">
        <f>Online_Sales_Data[[#This Row],[Units Sold]]*Online_Sales_Data[[#This Row],[Unit Price]]</f>
        <v>43.96</v>
      </c>
      <c r="K107" s="2">
        <f>MONTH(Online_Sales_Data[[#This Row],[Date]])</f>
        <v>4</v>
      </c>
      <c r="L107" s="2">
        <f>YEAR(Online_Sales_Data[[#This Row],[Date]])</f>
        <v>2024</v>
      </c>
      <c r="M107" s="2">
        <f t="shared" si="1"/>
        <v>4</v>
      </c>
    </row>
    <row r="108" spans="1:13" x14ac:dyDescent="0.25">
      <c r="A108">
        <v>10107</v>
      </c>
      <c r="B108" s="1">
        <v>45398</v>
      </c>
      <c r="C108" s="2" t="s">
        <v>23</v>
      </c>
      <c r="D108" s="2" t="s">
        <v>127</v>
      </c>
      <c r="E108">
        <v>1</v>
      </c>
      <c r="F108">
        <v>6.5</v>
      </c>
      <c r="G108">
        <v>6.5</v>
      </c>
      <c r="H108" s="2" t="s">
        <v>15</v>
      </c>
      <c r="I108" s="2" t="s">
        <v>16</v>
      </c>
      <c r="J108">
        <f>Online_Sales_Data[[#This Row],[Units Sold]]*Online_Sales_Data[[#This Row],[Unit Price]]</f>
        <v>6.5</v>
      </c>
      <c r="K108" s="2">
        <f>MONTH(Online_Sales_Data[[#This Row],[Date]])</f>
        <v>4</v>
      </c>
      <c r="L108" s="2">
        <f>YEAR(Online_Sales_Data[[#This Row],[Date]])</f>
        <v>2024</v>
      </c>
      <c r="M108" s="2">
        <f t="shared" si="1"/>
        <v>4</v>
      </c>
    </row>
    <row r="109" spans="1:13" x14ac:dyDescent="0.25">
      <c r="A109">
        <v>10108</v>
      </c>
      <c r="B109" s="1">
        <v>45399</v>
      </c>
      <c r="C109" s="2" t="s">
        <v>25</v>
      </c>
      <c r="D109" s="2" t="s">
        <v>128</v>
      </c>
      <c r="E109">
        <v>1</v>
      </c>
      <c r="F109">
        <v>399.99</v>
      </c>
      <c r="G109">
        <v>399.99</v>
      </c>
      <c r="H109" s="2" t="s">
        <v>19</v>
      </c>
      <c r="I109" s="2" t="s">
        <v>12</v>
      </c>
      <c r="J109">
        <f>Online_Sales_Data[[#This Row],[Units Sold]]*Online_Sales_Data[[#This Row],[Unit Price]]</f>
        <v>399.99</v>
      </c>
      <c r="K109" s="2">
        <f>MONTH(Online_Sales_Data[[#This Row],[Date]])</f>
        <v>4</v>
      </c>
      <c r="L109" s="2">
        <f>YEAR(Online_Sales_Data[[#This Row],[Date]])</f>
        <v>2024</v>
      </c>
      <c r="M109" s="2">
        <f t="shared" si="1"/>
        <v>4</v>
      </c>
    </row>
    <row r="110" spans="1:13" x14ac:dyDescent="0.25">
      <c r="A110">
        <v>10109</v>
      </c>
      <c r="B110" s="1">
        <v>45400</v>
      </c>
      <c r="C110" s="2" t="s">
        <v>9</v>
      </c>
      <c r="D110" s="2" t="s">
        <v>129</v>
      </c>
      <c r="E110">
        <v>2</v>
      </c>
      <c r="F110">
        <v>229.99</v>
      </c>
      <c r="G110">
        <v>459.98</v>
      </c>
      <c r="H110" s="2" t="s">
        <v>11</v>
      </c>
      <c r="I110" s="2" t="s">
        <v>12</v>
      </c>
      <c r="J110">
        <f>Online_Sales_Data[[#This Row],[Units Sold]]*Online_Sales_Data[[#This Row],[Unit Price]]</f>
        <v>459.98</v>
      </c>
      <c r="K110" s="2">
        <f>MONTH(Online_Sales_Data[[#This Row],[Date]])</f>
        <v>4</v>
      </c>
      <c r="L110" s="2">
        <f>YEAR(Online_Sales_Data[[#This Row],[Date]])</f>
        <v>2024</v>
      </c>
      <c r="M110" s="2">
        <f t="shared" si="1"/>
        <v>4</v>
      </c>
    </row>
    <row r="111" spans="1:13" x14ac:dyDescent="0.25">
      <c r="A111">
        <v>10110</v>
      </c>
      <c r="B111" s="1">
        <v>45401</v>
      </c>
      <c r="C111" s="2" t="s">
        <v>13</v>
      </c>
      <c r="D111" s="2" t="s">
        <v>130</v>
      </c>
      <c r="E111">
        <v>1</v>
      </c>
      <c r="F111">
        <v>159.99</v>
      </c>
      <c r="G111">
        <v>159.99</v>
      </c>
      <c r="H111" s="2" t="s">
        <v>15</v>
      </c>
      <c r="I111" s="2" t="s">
        <v>16</v>
      </c>
      <c r="J111">
        <f>Online_Sales_Data[[#This Row],[Units Sold]]*Online_Sales_Data[[#This Row],[Unit Price]]</f>
        <v>159.99</v>
      </c>
      <c r="K111" s="2">
        <f>MONTH(Online_Sales_Data[[#This Row],[Date]])</f>
        <v>4</v>
      </c>
      <c r="L111" s="2">
        <f>YEAR(Online_Sales_Data[[#This Row],[Date]])</f>
        <v>2024</v>
      </c>
      <c r="M111" s="2">
        <f t="shared" si="1"/>
        <v>4</v>
      </c>
    </row>
    <row r="112" spans="1:13" x14ac:dyDescent="0.25">
      <c r="A112">
        <v>10111</v>
      </c>
      <c r="B112" s="1">
        <v>45402</v>
      </c>
      <c r="C112" s="2" t="s">
        <v>17</v>
      </c>
      <c r="D112" s="2" t="s">
        <v>131</v>
      </c>
      <c r="E112">
        <v>4</v>
      </c>
      <c r="F112">
        <v>14.99</v>
      </c>
      <c r="G112">
        <v>59.96</v>
      </c>
      <c r="H112" s="2" t="s">
        <v>19</v>
      </c>
      <c r="I112" s="2" t="s">
        <v>20</v>
      </c>
      <c r="J112">
        <f>Online_Sales_Data[[#This Row],[Units Sold]]*Online_Sales_Data[[#This Row],[Unit Price]]</f>
        <v>59.96</v>
      </c>
      <c r="K112" s="2">
        <f>MONTH(Online_Sales_Data[[#This Row],[Date]])</f>
        <v>4</v>
      </c>
      <c r="L112" s="2">
        <f>YEAR(Online_Sales_Data[[#This Row],[Date]])</f>
        <v>2024</v>
      </c>
      <c r="M112" s="2">
        <f t="shared" si="1"/>
        <v>4</v>
      </c>
    </row>
    <row r="113" spans="1:13" x14ac:dyDescent="0.25">
      <c r="A113">
        <v>10112</v>
      </c>
      <c r="B113" s="1">
        <v>45403</v>
      </c>
      <c r="C113" s="2" t="s">
        <v>21</v>
      </c>
      <c r="D113" s="2" t="s">
        <v>132</v>
      </c>
      <c r="E113">
        <v>2</v>
      </c>
      <c r="F113">
        <v>18.989999999999998</v>
      </c>
      <c r="G113">
        <v>37.979999999999997</v>
      </c>
      <c r="H113" s="2" t="s">
        <v>11</v>
      </c>
      <c r="I113" s="2" t="s">
        <v>12</v>
      </c>
      <c r="J113">
        <f>Online_Sales_Data[[#This Row],[Units Sold]]*Online_Sales_Data[[#This Row],[Unit Price]]</f>
        <v>37.979999999999997</v>
      </c>
      <c r="K113" s="2">
        <f>MONTH(Online_Sales_Data[[#This Row],[Date]])</f>
        <v>4</v>
      </c>
      <c r="L113" s="2">
        <f>YEAR(Online_Sales_Data[[#This Row],[Date]])</f>
        <v>2024</v>
      </c>
      <c r="M113" s="2">
        <f t="shared" si="1"/>
        <v>4</v>
      </c>
    </row>
    <row r="114" spans="1:13" x14ac:dyDescent="0.25">
      <c r="A114">
        <v>10113</v>
      </c>
      <c r="B114" s="1">
        <v>45404</v>
      </c>
      <c r="C114" s="2" t="s">
        <v>23</v>
      </c>
      <c r="D114" s="2" t="s">
        <v>133</v>
      </c>
      <c r="E114">
        <v>1</v>
      </c>
      <c r="F114">
        <v>15</v>
      </c>
      <c r="G114">
        <v>15</v>
      </c>
      <c r="H114" s="2" t="s">
        <v>15</v>
      </c>
      <c r="I114" s="2" t="s">
        <v>16</v>
      </c>
      <c r="J114">
        <f>Online_Sales_Data[[#This Row],[Units Sold]]*Online_Sales_Data[[#This Row],[Unit Price]]</f>
        <v>15</v>
      </c>
      <c r="K114" s="2">
        <f>MONTH(Online_Sales_Data[[#This Row],[Date]])</f>
        <v>4</v>
      </c>
      <c r="L114" s="2">
        <f>YEAR(Online_Sales_Data[[#This Row],[Date]])</f>
        <v>2024</v>
      </c>
      <c r="M114" s="2">
        <f t="shared" si="1"/>
        <v>4</v>
      </c>
    </row>
    <row r="115" spans="1:13" x14ac:dyDescent="0.25">
      <c r="A115">
        <v>10114</v>
      </c>
      <c r="B115" s="1">
        <v>45405</v>
      </c>
      <c r="C115" s="2" t="s">
        <v>25</v>
      </c>
      <c r="D115" s="2" t="s">
        <v>134</v>
      </c>
      <c r="E115">
        <v>3</v>
      </c>
      <c r="F115">
        <v>229.95</v>
      </c>
      <c r="G115">
        <v>689.85</v>
      </c>
      <c r="H115" s="2" t="s">
        <v>19</v>
      </c>
      <c r="I115" s="2" t="s">
        <v>12</v>
      </c>
      <c r="J115">
        <f>Online_Sales_Data[[#This Row],[Units Sold]]*Online_Sales_Data[[#This Row],[Unit Price]]</f>
        <v>689.84999999999991</v>
      </c>
      <c r="K115" s="2">
        <f>MONTH(Online_Sales_Data[[#This Row],[Date]])</f>
        <v>4</v>
      </c>
      <c r="L115" s="2">
        <f>YEAR(Online_Sales_Data[[#This Row],[Date]])</f>
        <v>2024</v>
      </c>
      <c r="M115" s="2">
        <f t="shared" si="1"/>
        <v>4</v>
      </c>
    </row>
    <row r="116" spans="1:13" x14ac:dyDescent="0.25">
      <c r="A116">
        <v>10115</v>
      </c>
      <c r="B116" s="1">
        <v>45406</v>
      </c>
      <c r="C116" s="2" t="s">
        <v>9</v>
      </c>
      <c r="D116" s="2" t="s">
        <v>135</v>
      </c>
      <c r="E116">
        <v>1</v>
      </c>
      <c r="F116">
        <v>249.99</v>
      </c>
      <c r="G116">
        <v>249.99</v>
      </c>
      <c r="H116" s="2" t="s">
        <v>11</v>
      </c>
      <c r="I116" s="2" t="s">
        <v>12</v>
      </c>
      <c r="J116">
        <f>Online_Sales_Data[[#This Row],[Units Sold]]*Online_Sales_Data[[#This Row],[Unit Price]]</f>
        <v>249.99</v>
      </c>
      <c r="K116" s="2">
        <f>MONTH(Online_Sales_Data[[#This Row],[Date]])</f>
        <v>4</v>
      </c>
      <c r="L116" s="2">
        <f>YEAR(Online_Sales_Data[[#This Row],[Date]])</f>
        <v>2024</v>
      </c>
      <c r="M116" s="2">
        <f t="shared" si="1"/>
        <v>4</v>
      </c>
    </row>
    <row r="117" spans="1:13" x14ac:dyDescent="0.25">
      <c r="A117">
        <v>10116</v>
      </c>
      <c r="B117" s="1">
        <v>45407</v>
      </c>
      <c r="C117" s="2" t="s">
        <v>13</v>
      </c>
      <c r="D117" s="2" t="s">
        <v>136</v>
      </c>
      <c r="E117">
        <v>2</v>
      </c>
      <c r="F117">
        <v>299.95</v>
      </c>
      <c r="G117">
        <v>599.9</v>
      </c>
      <c r="H117" s="2" t="s">
        <v>15</v>
      </c>
      <c r="I117" s="2" t="s">
        <v>16</v>
      </c>
      <c r="J117">
        <f>Online_Sales_Data[[#This Row],[Units Sold]]*Online_Sales_Data[[#This Row],[Unit Price]]</f>
        <v>599.9</v>
      </c>
      <c r="K117" s="2">
        <f>MONTH(Online_Sales_Data[[#This Row],[Date]])</f>
        <v>4</v>
      </c>
      <c r="L117" s="2">
        <f>YEAR(Online_Sales_Data[[#This Row],[Date]])</f>
        <v>2024</v>
      </c>
      <c r="M117" s="2">
        <f t="shared" si="1"/>
        <v>4</v>
      </c>
    </row>
    <row r="118" spans="1:13" x14ac:dyDescent="0.25">
      <c r="A118">
        <v>10117</v>
      </c>
      <c r="B118" s="1">
        <v>45408</v>
      </c>
      <c r="C118" s="2" t="s">
        <v>17</v>
      </c>
      <c r="D118" s="2" t="s">
        <v>137</v>
      </c>
      <c r="E118">
        <v>3</v>
      </c>
      <c r="F118">
        <v>49.99</v>
      </c>
      <c r="G118">
        <v>149.97</v>
      </c>
      <c r="H118" s="2" t="s">
        <v>19</v>
      </c>
      <c r="I118" s="2" t="s">
        <v>20</v>
      </c>
      <c r="J118">
        <f>Online_Sales_Data[[#This Row],[Units Sold]]*Online_Sales_Data[[#This Row],[Unit Price]]</f>
        <v>149.97</v>
      </c>
      <c r="K118" s="2">
        <f>MONTH(Online_Sales_Data[[#This Row],[Date]])</f>
        <v>4</v>
      </c>
      <c r="L118" s="2">
        <f>YEAR(Online_Sales_Data[[#This Row],[Date]])</f>
        <v>2024</v>
      </c>
      <c r="M118" s="2">
        <f t="shared" si="1"/>
        <v>4</v>
      </c>
    </row>
    <row r="119" spans="1:13" x14ac:dyDescent="0.25">
      <c r="A119">
        <v>10118</v>
      </c>
      <c r="B119" s="1">
        <v>45409</v>
      </c>
      <c r="C119" s="2" t="s">
        <v>21</v>
      </c>
      <c r="D119" s="2" t="s">
        <v>138</v>
      </c>
      <c r="E119">
        <v>4</v>
      </c>
      <c r="F119">
        <v>16.989999999999998</v>
      </c>
      <c r="G119">
        <v>67.959999999999994</v>
      </c>
      <c r="H119" s="2" t="s">
        <v>11</v>
      </c>
      <c r="I119" s="2" t="s">
        <v>12</v>
      </c>
      <c r="J119">
        <f>Online_Sales_Data[[#This Row],[Units Sold]]*Online_Sales_Data[[#This Row],[Unit Price]]</f>
        <v>67.959999999999994</v>
      </c>
      <c r="K119" s="2">
        <f>MONTH(Online_Sales_Data[[#This Row],[Date]])</f>
        <v>4</v>
      </c>
      <c r="L119" s="2">
        <f>YEAR(Online_Sales_Data[[#This Row],[Date]])</f>
        <v>2024</v>
      </c>
      <c r="M119" s="2">
        <f t="shared" si="1"/>
        <v>4</v>
      </c>
    </row>
    <row r="120" spans="1:13" x14ac:dyDescent="0.25">
      <c r="A120">
        <v>10119</v>
      </c>
      <c r="B120" s="1">
        <v>45410</v>
      </c>
      <c r="C120" s="2" t="s">
        <v>23</v>
      </c>
      <c r="D120" s="2" t="s">
        <v>139</v>
      </c>
      <c r="E120">
        <v>2</v>
      </c>
      <c r="F120">
        <v>14.99</v>
      </c>
      <c r="G120">
        <v>29.98</v>
      </c>
      <c r="H120" s="2" t="s">
        <v>15</v>
      </c>
      <c r="I120" s="2" t="s">
        <v>16</v>
      </c>
      <c r="J120">
        <f>Online_Sales_Data[[#This Row],[Units Sold]]*Online_Sales_Data[[#This Row],[Unit Price]]</f>
        <v>29.98</v>
      </c>
      <c r="K120" s="2">
        <f>MONTH(Online_Sales_Data[[#This Row],[Date]])</f>
        <v>4</v>
      </c>
      <c r="L120" s="2">
        <f>YEAR(Online_Sales_Data[[#This Row],[Date]])</f>
        <v>2024</v>
      </c>
      <c r="M120" s="2">
        <f t="shared" si="1"/>
        <v>4</v>
      </c>
    </row>
    <row r="121" spans="1:13" x14ac:dyDescent="0.25">
      <c r="A121">
        <v>10120</v>
      </c>
      <c r="B121" s="1">
        <v>45411</v>
      </c>
      <c r="C121" s="2" t="s">
        <v>25</v>
      </c>
      <c r="D121" s="2" t="s">
        <v>140</v>
      </c>
      <c r="E121">
        <v>1</v>
      </c>
      <c r="F121">
        <v>249.99</v>
      </c>
      <c r="G121">
        <v>249.99</v>
      </c>
      <c r="H121" s="2" t="s">
        <v>19</v>
      </c>
      <c r="I121" s="2" t="s">
        <v>12</v>
      </c>
      <c r="J121">
        <f>Online_Sales_Data[[#This Row],[Units Sold]]*Online_Sales_Data[[#This Row],[Unit Price]]</f>
        <v>249.99</v>
      </c>
      <c r="K121" s="2">
        <f>MONTH(Online_Sales_Data[[#This Row],[Date]])</f>
        <v>4</v>
      </c>
      <c r="L121" s="2">
        <f>YEAR(Online_Sales_Data[[#This Row],[Date]])</f>
        <v>2024</v>
      </c>
      <c r="M121" s="2">
        <f t="shared" si="1"/>
        <v>4.333333333333333</v>
      </c>
    </row>
    <row r="122" spans="1:13" x14ac:dyDescent="0.25">
      <c r="A122">
        <v>10121</v>
      </c>
      <c r="B122" s="1">
        <v>45412</v>
      </c>
      <c r="C122" s="2" t="s">
        <v>9</v>
      </c>
      <c r="D122" s="2" t="s">
        <v>141</v>
      </c>
      <c r="E122">
        <v>2</v>
      </c>
      <c r="F122">
        <v>599.99</v>
      </c>
      <c r="G122">
        <v>1199.98</v>
      </c>
      <c r="H122" s="2" t="s">
        <v>11</v>
      </c>
      <c r="I122" s="2" t="s">
        <v>12</v>
      </c>
      <c r="J122">
        <f>Online_Sales_Data[[#This Row],[Units Sold]]*Online_Sales_Data[[#This Row],[Unit Price]]</f>
        <v>1199.98</v>
      </c>
      <c r="K122" s="2">
        <f>MONTH(Online_Sales_Data[[#This Row],[Date]])</f>
        <v>4</v>
      </c>
      <c r="L122" s="2">
        <f>YEAR(Online_Sales_Data[[#This Row],[Date]])</f>
        <v>2024</v>
      </c>
      <c r="M122" s="2">
        <f t="shared" si="1"/>
        <v>4.666666666666667</v>
      </c>
    </row>
    <row r="123" spans="1:13" x14ac:dyDescent="0.25">
      <c r="A123">
        <v>10122</v>
      </c>
      <c r="B123" s="1">
        <v>45413</v>
      </c>
      <c r="C123" s="2" t="s">
        <v>13</v>
      </c>
      <c r="D123" s="2" t="s">
        <v>142</v>
      </c>
      <c r="E123">
        <v>1</v>
      </c>
      <c r="F123">
        <v>89.99</v>
      </c>
      <c r="G123">
        <v>89.99</v>
      </c>
      <c r="H123" s="2" t="s">
        <v>15</v>
      </c>
      <c r="I123" s="2" t="s">
        <v>16</v>
      </c>
      <c r="J123">
        <f>Online_Sales_Data[[#This Row],[Units Sold]]*Online_Sales_Data[[#This Row],[Unit Price]]</f>
        <v>89.99</v>
      </c>
      <c r="K123" s="2">
        <f>MONTH(Online_Sales_Data[[#This Row],[Date]])</f>
        <v>5</v>
      </c>
      <c r="L123" s="2">
        <f>YEAR(Online_Sales_Data[[#This Row],[Date]])</f>
        <v>2024</v>
      </c>
      <c r="M123" s="2">
        <f t="shared" si="1"/>
        <v>5</v>
      </c>
    </row>
    <row r="124" spans="1:13" x14ac:dyDescent="0.25">
      <c r="A124">
        <v>10123</v>
      </c>
      <c r="B124" s="1">
        <v>45414</v>
      </c>
      <c r="C124" s="2" t="s">
        <v>17</v>
      </c>
      <c r="D124" s="2" t="s">
        <v>143</v>
      </c>
      <c r="E124">
        <v>5</v>
      </c>
      <c r="F124">
        <v>12.99</v>
      </c>
      <c r="G124">
        <v>64.95</v>
      </c>
      <c r="H124" s="2" t="s">
        <v>19</v>
      </c>
      <c r="I124" s="2" t="s">
        <v>20</v>
      </c>
      <c r="J124">
        <f>Online_Sales_Data[[#This Row],[Units Sold]]*Online_Sales_Data[[#This Row],[Unit Price]]</f>
        <v>64.95</v>
      </c>
      <c r="K124" s="2">
        <f>MONTH(Online_Sales_Data[[#This Row],[Date]])</f>
        <v>5</v>
      </c>
      <c r="L124" s="2">
        <f>YEAR(Online_Sales_Data[[#This Row],[Date]])</f>
        <v>2024</v>
      </c>
      <c r="M124" s="2">
        <f t="shared" si="1"/>
        <v>5</v>
      </c>
    </row>
    <row r="125" spans="1:13" x14ac:dyDescent="0.25">
      <c r="A125">
        <v>10124</v>
      </c>
      <c r="B125" s="1">
        <v>45415</v>
      </c>
      <c r="C125" s="2" t="s">
        <v>21</v>
      </c>
      <c r="D125" s="2" t="s">
        <v>144</v>
      </c>
      <c r="E125">
        <v>3</v>
      </c>
      <c r="F125">
        <v>14.99</v>
      </c>
      <c r="G125">
        <v>44.97</v>
      </c>
      <c r="H125" s="2" t="s">
        <v>11</v>
      </c>
      <c r="I125" s="2" t="s">
        <v>12</v>
      </c>
      <c r="J125">
        <f>Online_Sales_Data[[#This Row],[Units Sold]]*Online_Sales_Data[[#This Row],[Unit Price]]</f>
        <v>44.97</v>
      </c>
      <c r="K125" s="2">
        <f>MONTH(Online_Sales_Data[[#This Row],[Date]])</f>
        <v>5</v>
      </c>
      <c r="L125" s="2">
        <f>YEAR(Online_Sales_Data[[#This Row],[Date]])</f>
        <v>2024</v>
      </c>
      <c r="M125" s="2">
        <f t="shared" si="1"/>
        <v>5</v>
      </c>
    </row>
    <row r="126" spans="1:13" x14ac:dyDescent="0.25">
      <c r="A126">
        <v>10125</v>
      </c>
      <c r="B126" s="1">
        <v>45416</v>
      </c>
      <c r="C126" s="2" t="s">
        <v>23</v>
      </c>
      <c r="D126" s="2" t="s">
        <v>145</v>
      </c>
      <c r="E126">
        <v>1</v>
      </c>
      <c r="F126">
        <v>30</v>
      </c>
      <c r="G126">
        <v>30</v>
      </c>
      <c r="H126" s="2" t="s">
        <v>15</v>
      </c>
      <c r="I126" s="2" t="s">
        <v>16</v>
      </c>
      <c r="J126">
        <f>Online_Sales_Data[[#This Row],[Units Sold]]*Online_Sales_Data[[#This Row],[Unit Price]]</f>
        <v>30</v>
      </c>
      <c r="K126" s="2">
        <f>MONTH(Online_Sales_Data[[#This Row],[Date]])</f>
        <v>5</v>
      </c>
      <c r="L126" s="2">
        <f>YEAR(Online_Sales_Data[[#This Row],[Date]])</f>
        <v>2024</v>
      </c>
      <c r="M126" s="2">
        <f t="shared" si="1"/>
        <v>5</v>
      </c>
    </row>
    <row r="127" spans="1:13" x14ac:dyDescent="0.25">
      <c r="A127">
        <v>10126</v>
      </c>
      <c r="B127" s="1">
        <v>45417</v>
      </c>
      <c r="C127" s="2" t="s">
        <v>25</v>
      </c>
      <c r="D127" s="2" t="s">
        <v>146</v>
      </c>
      <c r="E127">
        <v>1</v>
      </c>
      <c r="F127">
        <v>199.99</v>
      </c>
      <c r="G127">
        <v>199.99</v>
      </c>
      <c r="H127" s="2" t="s">
        <v>19</v>
      </c>
      <c r="I127" s="2" t="s">
        <v>12</v>
      </c>
      <c r="J127">
        <f>Online_Sales_Data[[#This Row],[Units Sold]]*Online_Sales_Data[[#This Row],[Unit Price]]</f>
        <v>199.99</v>
      </c>
      <c r="K127" s="2">
        <f>MONTH(Online_Sales_Data[[#This Row],[Date]])</f>
        <v>5</v>
      </c>
      <c r="L127" s="2">
        <f>YEAR(Online_Sales_Data[[#This Row],[Date]])</f>
        <v>2024</v>
      </c>
      <c r="M127" s="2">
        <f t="shared" si="1"/>
        <v>5</v>
      </c>
    </row>
    <row r="128" spans="1:13" x14ac:dyDescent="0.25">
      <c r="A128">
        <v>10127</v>
      </c>
      <c r="B128" s="1">
        <v>45418</v>
      </c>
      <c r="C128" s="2" t="s">
        <v>9</v>
      </c>
      <c r="D128" s="2" t="s">
        <v>147</v>
      </c>
      <c r="E128">
        <v>1</v>
      </c>
      <c r="F128">
        <v>499.99</v>
      </c>
      <c r="G128">
        <v>499.99</v>
      </c>
      <c r="H128" s="2" t="s">
        <v>11</v>
      </c>
      <c r="I128" s="2" t="s">
        <v>12</v>
      </c>
      <c r="J128">
        <f>Online_Sales_Data[[#This Row],[Units Sold]]*Online_Sales_Data[[#This Row],[Unit Price]]</f>
        <v>499.99</v>
      </c>
      <c r="K128" s="2">
        <f>MONTH(Online_Sales_Data[[#This Row],[Date]])</f>
        <v>5</v>
      </c>
      <c r="L128" s="2">
        <f>YEAR(Online_Sales_Data[[#This Row],[Date]])</f>
        <v>2024</v>
      </c>
      <c r="M128" s="2">
        <f t="shared" si="1"/>
        <v>5</v>
      </c>
    </row>
    <row r="129" spans="1:13" x14ac:dyDescent="0.25">
      <c r="A129">
        <v>10128</v>
      </c>
      <c r="B129" s="1">
        <v>45419</v>
      </c>
      <c r="C129" s="2" t="s">
        <v>13</v>
      </c>
      <c r="D129" s="2" t="s">
        <v>37</v>
      </c>
      <c r="E129">
        <v>2</v>
      </c>
      <c r="F129">
        <v>399.99</v>
      </c>
      <c r="G129">
        <v>799.98</v>
      </c>
      <c r="H129" s="2" t="s">
        <v>15</v>
      </c>
      <c r="I129" s="2" t="s">
        <v>16</v>
      </c>
      <c r="J129">
        <f>Online_Sales_Data[[#This Row],[Units Sold]]*Online_Sales_Data[[#This Row],[Unit Price]]</f>
        <v>799.98</v>
      </c>
      <c r="K129" s="2">
        <f>MONTH(Online_Sales_Data[[#This Row],[Date]])</f>
        <v>5</v>
      </c>
      <c r="L129" s="2">
        <f>YEAR(Online_Sales_Data[[#This Row],[Date]])</f>
        <v>2024</v>
      </c>
      <c r="M129" s="2">
        <f t="shared" si="1"/>
        <v>5</v>
      </c>
    </row>
    <row r="130" spans="1:13" x14ac:dyDescent="0.25">
      <c r="A130">
        <v>10129</v>
      </c>
      <c r="B130" s="1">
        <v>45420</v>
      </c>
      <c r="C130" s="2" t="s">
        <v>17</v>
      </c>
      <c r="D130" s="2" t="s">
        <v>148</v>
      </c>
      <c r="E130">
        <v>3</v>
      </c>
      <c r="F130">
        <v>98</v>
      </c>
      <c r="G130">
        <v>294</v>
      </c>
      <c r="H130" s="2" t="s">
        <v>19</v>
      </c>
      <c r="I130" s="2" t="s">
        <v>20</v>
      </c>
      <c r="J130">
        <f>Online_Sales_Data[[#This Row],[Units Sold]]*Online_Sales_Data[[#This Row],[Unit Price]]</f>
        <v>294</v>
      </c>
      <c r="K130" s="2">
        <f>MONTH(Online_Sales_Data[[#This Row],[Date]])</f>
        <v>5</v>
      </c>
      <c r="L130" s="2">
        <f>YEAR(Online_Sales_Data[[#This Row],[Date]])</f>
        <v>2024</v>
      </c>
      <c r="M130" s="2">
        <f t="shared" ref="M130:M193" si="2">AVERAGE(K130:K132)</f>
        <v>5</v>
      </c>
    </row>
    <row r="131" spans="1:13" x14ac:dyDescent="0.25">
      <c r="A131">
        <v>10130</v>
      </c>
      <c r="B131" s="1">
        <v>45421</v>
      </c>
      <c r="C131" s="2" t="s">
        <v>21</v>
      </c>
      <c r="D131" s="2" t="s">
        <v>149</v>
      </c>
      <c r="E131">
        <v>2</v>
      </c>
      <c r="F131">
        <v>8.99</v>
      </c>
      <c r="G131">
        <v>17.98</v>
      </c>
      <c r="H131" s="2" t="s">
        <v>11</v>
      </c>
      <c r="I131" s="2" t="s">
        <v>12</v>
      </c>
      <c r="J131">
        <f>Online_Sales_Data[[#This Row],[Units Sold]]*Online_Sales_Data[[#This Row],[Unit Price]]</f>
        <v>17.98</v>
      </c>
      <c r="K131" s="2">
        <f>MONTH(Online_Sales_Data[[#This Row],[Date]])</f>
        <v>5</v>
      </c>
      <c r="L131" s="2">
        <f>YEAR(Online_Sales_Data[[#This Row],[Date]])</f>
        <v>2024</v>
      </c>
      <c r="M131" s="2">
        <f t="shared" si="2"/>
        <v>5</v>
      </c>
    </row>
    <row r="132" spans="1:13" x14ac:dyDescent="0.25">
      <c r="A132">
        <v>10131</v>
      </c>
      <c r="B132" s="1">
        <v>45422</v>
      </c>
      <c r="C132" s="2" t="s">
        <v>23</v>
      </c>
      <c r="D132" s="2" t="s">
        <v>150</v>
      </c>
      <c r="E132">
        <v>1</v>
      </c>
      <c r="F132">
        <v>36</v>
      </c>
      <c r="G132">
        <v>36</v>
      </c>
      <c r="H132" s="2" t="s">
        <v>15</v>
      </c>
      <c r="I132" s="2" t="s">
        <v>16</v>
      </c>
      <c r="J132">
        <f>Online_Sales_Data[[#This Row],[Units Sold]]*Online_Sales_Data[[#This Row],[Unit Price]]</f>
        <v>36</v>
      </c>
      <c r="K132" s="2">
        <f>MONTH(Online_Sales_Data[[#This Row],[Date]])</f>
        <v>5</v>
      </c>
      <c r="L132" s="2">
        <f>YEAR(Online_Sales_Data[[#This Row],[Date]])</f>
        <v>2024</v>
      </c>
      <c r="M132" s="2">
        <f t="shared" si="2"/>
        <v>5</v>
      </c>
    </row>
    <row r="133" spans="1:13" x14ac:dyDescent="0.25">
      <c r="A133">
        <v>10132</v>
      </c>
      <c r="B133" s="1">
        <v>45423</v>
      </c>
      <c r="C133" s="2" t="s">
        <v>25</v>
      </c>
      <c r="D133" s="2" t="s">
        <v>151</v>
      </c>
      <c r="E133">
        <v>4</v>
      </c>
      <c r="F133">
        <v>39.950000000000003</v>
      </c>
      <c r="G133">
        <v>159.80000000000001</v>
      </c>
      <c r="H133" s="2" t="s">
        <v>19</v>
      </c>
      <c r="I133" s="2" t="s">
        <v>12</v>
      </c>
      <c r="J133">
        <f>Online_Sales_Data[[#This Row],[Units Sold]]*Online_Sales_Data[[#This Row],[Unit Price]]</f>
        <v>159.80000000000001</v>
      </c>
      <c r="K133" s="2">
        <f>MONTH(Online_Sales_Data[[#This Row],[Date]])</f>
        <v>5</v>
      </c>
      <c r="L133" s="2">
        <f>YEAR(Online_Sales_Data[[#This Row],[Date]])</f>
        <v>2024</v>
      </c>
      <c r="M133" s="2">
        <f t="shared" si="2"/>
        <v>5</v>
      </c>
    </row>
    <row r="134" spans="1:13" x14ac:dyDescent="0.25">
      <c r="A134">
        <v>10133</v>
      </c>
      <c r="B134" s="1">
        <v>45424</v>
      </c>
      <c r="C134" s="2" t="s">
        <v>9</v>
      </c>
      <c r="D134" s="2" t="s">
        <v>152</v>
      </c>
      <c r="E134">
        <v>1</v>
      </c>
      <c r="F134">
        <v>1299.99</v>
      </c>
      <c r="G134">
        <v>1299.99</v>
      </c>
      <c r="H134" s="2" t="s">
        <v>11</v>
      </c>
      <c r="I134" s="2" t="s">
        <v>12</v>
      </c>
      <c r="J134">
        <f>Online_Sales_Data[[#This Row],[Units Sold]]*Online_Sales_Data[[#This Row],[Unit Price]]</f>
        <v>1299.99</v>
      </c>
      <c r="K134" s="2">
        <f>MONTH(Online_Sales_Data[[#This Row],[Date]])</f>
        <v>5</v>
      </c>
      <c r="L134" s="2">
        <f>YEAR(Online_Sales_Data[[#This Row],[Date]])</f>
        <v>2024</v>
      </c>
      <c r="M134" s="2">
        <f t="shared" si="2"/>
        <v>5</v>
      </c>
    </row>
    <row r="135" spans="1:13" x14ac:dyDescent="0.25">
      <c r="A135">
        <v>10134</v>
      </c>
      <c r="B135" s="1">
        <v>45425</v>
      </c>
      <c r="C135" s="2" t="s">
        <v>13</v>
      </c>
      <c r="D135" s="2" t="s">
        <v>153</v>
      </c>
      <c r="E135">
        <v>2</v>
      </c>
      <c r="F135">
        <v>79.989999999999995</v>
      </c>
      <c r="G135">
        <v>159.97999999999999</v>
      </c>
      <c r="H135" s="2" t="s">
        <v>15</v>
      </c>
      <c r="I135" s="2" t="s">
        <v>16</v>
      </c>
      <c r="J135">
        <f>Online_Sales_Data[[#This Row],[Units Sold]]*Online_Sales_Data[[#This Row],[Unit Price]]</f>
        <v>159.97999999999999</v>
      </c>
      <c r="K135" s="2">
        <f>MONTH(Online_Sales_Data[[#This Row],[Date]])</f>
        <v>5</v>
      </c>
      <c r="L135" s="2">
        <f>YEAR(Online_Sales_Data[[#This Row],[Date]])</f>
        <v>2024</v>
      </c>
      <c r="M135" s="2">
        <f t="shared" si="2"/>
        <v>5</v>
      </c>
    </row>
    <row r="136" spans="1:13" x14ac:dyDescent="0.25">
      <c r="A136">
        <v>10135</v>
      </c>
      <c r="B136" s="1">
        <v>45426</v>
      </c>
      <c r="C136" s="2" t="s">
        <v>17</v>
      </c>
      <c r="D136" s="2" t="s">
        <v>154</v>
      </c>
      <c r="E136">
        <v>4</v>
      </c>
      <c r="F136">
        <v>34.99</v>
      </c>
      <c r="G136">
        <v>139.96</v>
      </c>
      <c r="H136" s="2" t="s">
        <v>19</v>
      </c>
      <c r="I136" s="2" t="s">
        <v>20</v>
      </c>
      <c r="J136">
        <f>Online_Sales_Data[[#This Row],[Units Sold]]*Online_Sales_Data[[#This Row],[Unit Price]]</f>
        <v>139.96</v>
      </c>
      <c r="K136" s="2">
        <f>MONTH(Online_Sales_Data[[#This Row],[Date]])</f>
        <v>5</v>
      </c>
      <c r="L136" s="2">
        <f>YEAR(Online_Sales_Data[[#This Row],[Date]])</f>
        <v>2024</v>
      </c>
      <c r="M136" s="2">
        <f t="shared" si="2"/>
        <v>5</v>
      </c>
    </row>
    <row r="137" spans="1:13" x14ac:dyDescent="0.25">
      <c r="A137">
        <v>10136</v>
      </c>
      <c r="B137" s="1">
        <v>45427</v>
      </c>
      <c r="C137" s="2" t="s">
        <v>21</v>
      </c>
      <c r="D137" s="2" t="s">
        <v>155</v>
      </c>
      <c r="E137">
        <v>3</v>
      </c>
      <c r="F137">
        <v>9.99</v>
      </c>
      <c r="G137">
        <v>29.97</v>
      </c>
      <c r="H137" s="2" t="s">
        <v>11</v>
      </c>
      <c r="I137" s="2" t="s">
        <v>12</v>
      </c>
      <c r="J137">
        <f>Online_Sales_Data[[#This Row],[Units Sold]]*Online_Sales_Data[[#This Row],[Unit Price]]</f>
        <v>29.97</v>
      </c>
      <c r="K137" s="2">
        <f>MONTH(Online_Sales_Data[[#This Row],[Date]])</f>
        <v>5</v>
      </c>
      <c r="L137" s="2">
        <f>YEAR(Online_Sales_Data[[#This Row],[Date]])</f>
        <v>2024</v>
      </c>
      <c r="M137" s="2">
        <f t="shared" si="2"/>
        <v>5</v>
      </c>
    </row>
    <row r="138" spans="1:13" x14ac:dyDescent="0.25">
      <c r="A138">
        <v>10137</v>
      </c>
      <c r="B138" s="1">
        <v>45428</v>
      </c>
      <c r="C138" s="2" t="s">
        <v>23</v>
      </c>
      <c r="D138" s="2" t="s">
        <v>156</v>
      </c>
      <c r="E138">
        <v>1</v>
      </c>
      <c r="F138">
        <v>6.8</v>
      </c>
      <c r="G138">
        <v>6.8</v>
      </c>
      <c r="H138" s="2" t="s">
        <v>15</v>
      </c>
      <c r="I138" s="2" t="s">
        <v>16</v>
      </c>
      <c r="J138">
        <f>Online_Sales_Data[[#This Row],[Units Sold]]*Online_Sales_Data[[#This Row],[Unit Price]]</f>
        <v>6.8</v>
      </c>
      <c r="K138" s="2">
        <f>MONTH(Online_Sales_Data[[#This Row],[Date]])</f>
        <v>5</v>
      </c>
      <c r="L138" s="2">
        <f>YEAR(Online_Sales_Data[[#This Row],[Date]])</f>
        <v>2024</v>
      </c>
      <c r="M138" s="2">
        <f t="shared" si="2"/>
        <v>5</v>
      </c>
    </row>
    <row r="139" spans="1:13" x14ac:dyDescent="0.25">
      <c r="A139">
        <v>10138</v>
      </c>
      <c r="B139" s="1">
        <v>45429</v>
      </c>
      <c r="C139" s="2" t="s">
        <v>25</v>
      </c>
      <c r="D139" s="2" t="s">
        <v>157</v>
      </c>
      <c r="E139">
        <v>2</v>
      </c>
      <c r="F139">
        <v>99.95</v>
      </c>
      <c r="G139">
        <v>199.9</v>
      </c>
      <c r="H139" s="2" t="s">
        <v>19</v>
      </c>
      <c r="I139" s="2" t="s">
        <v>12</v>
      </c>
      <c r="J139">
        <f>Online_Sales_Data[[#This Row],[Units Sold]]*Online_Sales_Data[[#This Row],[Unit Price]]</f>
        <v>199.9</v>
      </c>
      <c r="K139" s="2">
        <f>MONTH(Online_Sales_Data[[#This Row],[Date]])</f>
        <v>5</v>
      </c>
      <c r="L139" s="2">
        <f>YEAR(Online_Sales_Data[[#This Row],[Date]])</f>
        <v>2024</v>
      </c>
      <c r="M139" s="2">
        <f t="shared" si="2"/>
        <v>5</v>
      </c>
    </row>
    <row r="140" spans="1:13" x14ac:dyDescent="0.25">
      <c r="A140">
        <v>10139</v>
      </c>
      <c r="B140" s="1">
        <v>45430</v>
      </c>
      <c r="C140" s="2" t="s">
        <v>9</v>
      </c>
      <c r="D140" s="2" t="s">
        <v>158</v>
      </c>
      <c r="E140">
        <v>1</v>
      </c>
      <c r="F140">
        <v>1499.99</v>
      </c>
      <c r="G140">
        <v>1499.99</v>
      </c>
      <c r="H140" s="2" t="s">
        <v>11</v>
      </c>
      <c r="I140" s="2" t="s">
        <v>12</v>
      </c>
      <c r="J140">
        <f>Online_Sales_Data[[#This Row],[Units Sold]]*Online_Sales_Data[[#This Row],[Unit Price]]</f>
        <v>1499.99</v>
      </c>
      <c r="K140" s="2">
        <f>MONTH(Online_Sales_Data[[#This Row],[Date]])</f>
        <v>5</v>
      </c>
      <c r="L140" s="2">
        <f>YEAR(Online_Sales_Data[[#This Row],[Date]])</f>
        <v>2024</v>
      </c>
      <c r="M140" s="2">
        <f t="shared" si="2"/>
        <v>5</v>
      </c>
    </row>
    <row r="141" spans="1:13" x14ac:dyDescent="0.25">
      <c r="A141">
        <v>10140</v>
      </c>
      <c r="B141" s="1">
        <v>45431</v>
      </c>
      <c r="C141" s="2" t="s">
        <v>13</v>
      </c>
      <c r="D141" s="2" t="s">
        <v>159</v>
      </c>
      <c r="E141">
        <v>1</v>
      </c>
      <c r="F141">
        <v>139.99</v>
      </c>
      <c r="G141">
        <v>139.99</v>
      </c>
      <c r="H141" s="2" t="s">
        <v>15</v>
      </c>
      <c r="I141" s="2" t="s">
        <v>16</v>
      </c>
      <c r="J141">
        <f>Online_Sales_Data[[#This Row],[Units Sold]]*Online_Sales_Data[[#This Row],[Unit Price]]</f>
        <v>139.99</v>
      </c>
      <c r="K141" s="2">
        <f>MONTH(Online_Sales_Data[[#This Row],[Date]])</f>
        <v>5</v>
      </c>
      <c r="L141" s="2">
        <f>YEAR(Online_Sales_Data[[#This Row],[Date]])</f>
        <v>2024</v>
      </c>
      <c r="M141" s="2">
        <f t="shared" si="2"/>
        <v>5</v>
      </c>
    </row>
    <row r="142" spans="1:13" x14ac:dyDescent="0.25">
      <c r="A142">
        <v>10141</v>
      </c>
      <c r="B142" s="1">
        <v>45432</v>
      </c>
      <c r="C142" s="2" t="s">
        <v>17</v>
      </c>
      <c r="D142" s="2" t="s">
        <v>160</v>
      </c>
      <c r="E142">
        <v>3</v>
      </c>
      <c r="F142">
        <v>44.99</v>
      </c>
      <c r="G142">
        <v>134.97</v>
      </c>
      <c r="H142" s="2" t="s">
        <v>19</v>
      </c>
      <c r="I142" s="2" t="s">
        <v>20</v>
      </c>
      <c r="J142">
        <f>Online_Sales_Data[[#This Row],[Units Sold]]*Online_Sales_Data[[#This Row],[Unit Price]]</f>
        <v>134.97</v>
      </c>
      <c r="K142" s="2">
        <f>MONTH(Online_Sales_Data[[#This Row],[Date]])</f>
        <v>5</v>
      </c>
      <c r="L142" s="2">
        <f>YEAR(Online_Sales_Data[[#This Row],[Date]])</f>
        <v>2024</v>
      </c>
      <c r="M142" s="2">
        <f t="shared" si="2"/>
        <v>5</v>
      </c>
    </row>
    <row r="143" spans="1:13" x14ac:dyDescent="0.25">
      <c r="A143">
        <v>10142</v>
      </c>
      <c r="B143" s="1">
        <v>45433</v>
      </c>
      <c r="C143" s="2" t="s">
        <v>21</v>
      </c>
      <c r="D143" s="2" t="s">
        <v>161</v>
      </c>
      <c r="E143">
        <v>2</v>
      </c>
      <c r="F143">
        <v>11.99</v>
      </c>
      <c r="G143">
        <v>23.98</v>
      </c>
      <c r="H143" s="2" t="s">
        <v>11</v>
      </c>
      <c r="I143" s="2" t="s">
        <v>12</v>
      </c>
      <c r="J143">
        <f>Online_Sales_Data[[#This Row],[Units Sold]]*Online_Sales_Data[[#This Row],[Unit Price]]</f>
        <v>23.98</v>
      </c>
      <c r="K143" s="2">
        <f>MONTH(Online_Sales_Data[[#This Row],[Date]])</f>
        <v>5</v>
      </c>
      <c r="L143" s="2">
        <f>YEAR(Online_Sales_Data[[#This Row],[Date]])</f>
        <v>2024</v>
      </c>
      <c r="M143" s="2">
        <f t="shared" si="2"/>
        <v>5</v>
      </c>
    </row>
    <row r="144" spans="1:13" x14ac:dyDescent="0.25">
      <c r="A144">
        <v>10143</v>
      </c>
      <c r="B144" s="1">
        <v>45434</v>
      </c>
      <c r="C144" s="2" t="s">
        <v>23</v>
      </c>
      <c r="D144" s="2" t="s">
        <v>162</v>
      </c>
      <c r="E144">
        <v>1</v>
      </c>
      <c r="F144">
        <v>29.5</v>
      </c>
      <c r="G144">
        <v>29.5</v>
      </c>
      <c r="H144" s="2" t="s">
        <v>15</v>
      </c>
      <c r="I144" s="2" t="s">
        <v>16</v>
      </c>
      <c r="J144">
        <f>Online_Sales_Data[[#This Row],[Units Sold]]*Online_Sales_Data[[#This Row],[Unit Price]]</f>
        <v>29.5</v>
      </c>
      <c r="K144" s="2">
        <f>MONTH(Online_Sales_Data[[#This Row],[Date]])</f>
        <v>5</v>
      </c>
      <c r="L144" s="2">
        <f>YEAR(Online_Sales_Data[[#This Row],[Date]])</f>
        <v>2024</v>
      </c>
      <c r="M144" s="2">
        <f t="shared" si="2"/>
        <v>5</v>
      </c>
    </row>
    <row r="145" spans="1:13" x14ac:dyDescent="0.25">
      <c r="A145">
        <v>10144</v>
      </c>
      <c r="B145" s="1">
        <v>45435</v>
      </c>
      <c r="C145" s="2" t="s">
        <v>25</v>
      </c>
      <c r="D145" s="2" t="s">
        <v>163</v>
      </c>
      <c r="E145">
        <v>1</v>
      </c>
      <c r="F145">
        <v>299.99</v>
      </c>
      <c r="G145">
        <v>299.99</v>
      </c>
      <c r="H145" s="2" t="s">
        <v>19</v>
      </c>
      <c r="I145" s="2" t="s">
        <v>12</v>
      </c>
      <c r="J145">
        <f>Online_Sales_Data[[#This Row],[Units Sold]]*Online_Sales_Data[[#This Row],[Unit Price]]</f>
        <v>299.99</v>
      </c>
      <c r="K145" s="2">
        <f>MONTH(Online_Sales_Data[[#This Row],[Date]])</f>
        <v>5</v>
      </c>
      <c r="L145" s="2">
        <f>YEAR(Online_Sales_Data[[#This Row],[Date]])</f>
        <v>2024</v>
      </c>
      <c r="M145" s="2">
        <f t="shared" si="2"/>
        <v>5</v>
      </c>
    </row>
    <row r="146" spans="1:13" x14ac:dyDescent="0.25">
      <c r="A146">
        <v>10145</v>
      </c>
      <c r="B146" s="1">
        <v>45436</v>
      </c>
      <c r="C146" s="2" t="s">
        <v>9</v>
      </c>
      <c r="D146" s="2" t="s">
        <v>164</v>
      </c>
      <c r="E146">
        <v>1</v>
      </c>
      <c r="F146">
        <v>549</v>
      </c>
      <c r="G146">
        <v>549</v>
      </c>
      <c r="H146" s="2" t="s">
        <v>11</v>
      </c>
      <c r="I146" s="2" t="s">
        <v>12</v>
      </c>
      <c r="J146">
        <f>Online_Sales_Data[[#This Row],[Units Sold]]*Online_Sales_Data[[#This Row],[Unit Price]]</f>
        <v>549</v>
      </c>
      <c r="K146" s="2">
        <f>MONTH(Online_Sales_Data[[#This Row],[Date]])</f>
        <v>5</v>
      </c>
      <c r="L146" s="2">
        <f>YEAR(Online_Sales_Data[[#This Row],[Date]])</f>
        <v>2024</v>
      </c>
      <c r="M146" s="2">
        <f t="shared" si="2"/>
        <v>5</v>
      </c>
    </row>
    <row r="147" spans="1:13" x14ac:dyDescent="0.25">
      <c r="A147">
        <v>10146</v>
      </c>
      <c r="B147" s="1">
        <v>45437</v>
      </c>
      <c r="C147" s="2" t="s">
        <v>13</v>
      </c>
      <c r="D147" s="2" t="s">
        <v>165</v>
      </c>
      <c r="E147">
        <v>2</v>
      </c>
      <c r="F147">
        <v>199.95</v>
      </c>
      <c r="G147">
        <v>399.9</v>
      </c>
      <c r="H147" s="2" t="s">
        <v>15</v>
      </c>
      <c r="I147" s="2" t="s">
        <v>16</v>
      </c>
      <c r="J147">
        <f>Online_Sales_Data[[#This Row],[Units Sold]]*Online_Sales_Data[[#This Row],[Unit Price]]</f>
        <v>399.9</v>
      </c>
      <c r="K147" s="2">
        <f>MONTH(Online_Sales_Data[[#This Row],[Date]])</f>
        <v>5</v>
      </c>
      <c r="L147" s="2">
        <f>YEAR(Online_Sales_Data[[#This Row],[Date]])</f>
        <v>2024</v>
      </c>
      <c r="M147" s="2">
        <f t="shared" si="2"/>
        <v>5</v>
      </c>
    </row>
    <row r="148" spans="1:13" x14ac:dyDescent="0.25">
      <c r="A148">
        <v>10147</v>
      </c>
      <c r="B148" s="1">
        <v>45438</v>
      </c>
      <c r="C148" s="2" t="s">
        <v>17</v>
      </c>
      <c r="D148" s="2" t="s">
        <v>166</v>
      </c>
      <c r="E148">
        <v>2</v>
      </c>
      <c r="F148">
        <v>98</v>
      </c>
      <c r="G148">
        <v>196</v>
      </c>
      <c r="H148" s="2" t="s">
        <v>19</v>
      </c>
      <c r="I148" s="2" t="s">
        <v>20</v>
      </c>
      <c r="J148">
        <f>Online_Sales_Data[[#This Row],[Units Sold]]*Online_Sales_Data[[#This Row],[Unit Price]]</f>
        <v>196</v>
      </c>
      <c r="K148" s="2">
        <f>MONTH(Online_Sales_Data[[#This Row],[Date]])</f>
        <v>5</v>
      </c>
      <c r="L148" s="2">
        <f>YEAR(Online_Sales_Data[[#This Row],[Date]])</f>
        <v>2024</v>
      </c>
      <c r="M148" s="2">
        <f t="shared" si="2"/>
        <v>5</v>
      </c>
    </row>
    <row r="149" spans="1:13" x14ac:dyDescent="0.25">
      <c r="A149">
        <v>10148</v>
      </c>
      <c r="B149" s="1">
        <v>45439</v>
      </c>
      <c r="C149" s="2" t="s">
        <v>21</v>
      </c>
      <c r="D149" s="2" t="s">
        <v>167</v>
      </c>
      <c r="E149">
        <v>3</v>
      </c>
      <c r="F149">
        <v>10.99</v>
      </c>
      <c r="G149">
        <v>32.97</v>
      </c>
      <c r="H149" s="2" t="s">
        <v>11</v>
      </c>
      <c r="I149" s="2" t="s">
        <v>12</v>
      </c>
      <c r="J149">
        <f>Online_Sales_Data[[#This Row],[Units Sold]]*Online_Sales_Data[[#This Row],[Unit Price]]</f>
        <v>32.97</v>
      </c>
      <c r="K149" s="2">
        <f>MONTH(Online_Sales_Data[[#This Row],[Date]])</f>
        <v>5</v>
      </c>
      <c r="L149" s="2">
        <f>YEAR(Online_Sales_Data[[#This Row],[Date]])</f>
        <v>2024</v>
      </c>
      <c r="M149" s="2">
        <f t="shared" si="2"/>
        <v>5</v>
      </c>
    </row>
    <row r="150" spans="1:13" x14ac:dyDescent="0.25">
      <c r="A150">
        <v>10149</v>
      </c>
      <c r="B150" s="1">
        <v>45440</v>
      </c>
      <c r="C150" s="2" t="s">
        <v>23</v>
      </c>
      <c r="D150" s="2" t="s">
        <v>168</v>
      </c>
      <c r="E150">
        <v>1</v>
      </c>
      <c r="F150">
        <v>25</v>
      </c>
      <c r="G150">
        <v>25</v>
      </c>
      <c r="H150" s="2" t="s">
        <v>15</v>
      </c>
      <c r="I150" s="2" t="s">
        <v>16</v>
      </c>
      <c r="J150">
        <f>Online_Sales_Data[[#This Row],[Units Sold]]*Online_Sales_Data[[#This Row],[Unit Price]]</f>
        <v>25</v>
      </c>
      <c r="K150" s="2">
        <f>MONTH(Online_Sales_Data[[#This Row],[Date]])</f>
        <v>5</v>
      </c>
      <c r="L150" s="2">
        <f>YEAR(Online_Sales_Data[[#This Row],[Date]])</f>
        <v>2024</v>
      </c>
      <c r="M150" s="2">
        <f t="shared" si="2"/>
        <v>5</v>
      </c>
    </row>
    <row r="151" spans="1:13" x14ac:dyDescent="0.25">
      <c r="A151">
        <v>10150</v>
      </c>
      <c r="B151" s="1">
        <v>45441</v>
      </c>
      <c r="C151" s="2" t="s">
        <v>25</v>
      </c>
      <c r="D151" s="2" t="s">
        <v>169</v>
      </c>
      <c r="E151">
        <v>2</v>
      </c>
      <c r="F151">
        <v>149.99</v>
      </c>
      <c r="G151">
        <v>299.98</v>
      </c>
      <c r="H151" s="2" t="s">
        <v>19</v>
      </c>
      <c r="I151" s="2" t="s">
        <v>12</v>
      </c>
      <c r="J151">
        <f>Online_Sales_Data[[#This Row],[Units Sold]]*Online_Sales_Data[[#This Row],[Unit Price]]</f>
        <v>299.98</v>
      </c>
      <c r="K151" s="2">
        <f>MONTH(Online_Sales_Data[[#This Row],[Date]])</f>
        <v>5</v>
      </c>
      <c r="L151" s="2">
        <f>YEAR(Online_Sales_Data[[#This Row],[Date]])</f>
        <v>2024</v>
      </c>
      <c r="M151" s="2">
        <f t="shared" si="2"/>
        <v>5</v>
      </c>
    </row>
    <row r="152" spans="1:13" x14ac:dyDescent="0.25">
      <c r="A152">
        <v>10151</v>
      </c>
      <c r="B152" s="1">
        <v>45442</v>
      </c>
      <c r="C152" s="2" t="s">
        <v>9</v>
      </c>
      <c r="D152" s="2" t="s">
        <v>51</v>
      </c>
      <c r="E152">
        <v>1</v>
      </c>
      <c r="F152">
        <v>349.99</v>
      </c>
      <c r="G152">
        <v>349.99</v>
      </c>
      <c r="H152" s="2" t="s">
        <v>11</v>
      </c>
      <c r="I152" s="2" t="s">
        <v>12</v>
      </c>
      <c r="J152">
        <f>Online_Sales_Data[[#This Row],[Units Sold]]*Online_Sales_Data[[#This Row],[Unit Price]]</f>
        <v>349.99</v>
      </c>
      <c r="K152" s="2">
        <f>MONTH(Online_Sales_Data[[#This Row],[Date]])</f>
        <v>5</v>
      </c>
      <c r="L152" s="2">
        <f>YEAR(Online_Sales_Data[[#This Row],[Date]])</f>
        <v>2024</v>
      </c>
      <c r="M152" s="2">
        <f t="shared" si="2"/>
        <v>5.333333333333333</v>
      </c>
    </row>
    <row r="153" spans="1:13" x14ac:dyDescent="0.25">
      <c r="A153">
        <v>10152</v>
      </c>
      <c r="B153" s="1">
        <v>45443</v>
      </c>
      <c r="C153" s="2" t="s">
        <v>13</v>
      </c>
      <c r="D153" s="2" t="s">
        <v>170</v>
      </c>
      <c r="E153">
        <v>2</v>
      </c>
      <c r="F153">
        <v>199.99</v>
      </c>
      <c r="G153">
        <v>399.98</v>
      </c>
      <c r="H153" s="2" t="s">
        <v>15</v>
      </c>
      <c r="I153" s="2" t="s">
        <v>16</v>
      </c>
      <c r="J153">
        <f>Online_Sales_Data[[#This Row],[Units Sold]]*Online_Sales_Data[[#This Row],[Unit Price]]</f>
        <v>399.98</v>
      </c>
      <c r="K153" s="2">
        <f>MONTH(Online_Sales_Data[[#This Row],[Date]])</f>
        <v>5</v>
      </c>
      <c r="L153" s="2">
        <f>YEAR(Online_Sales_Data[[#This Row],[Date]])</f>
        <v>2024</v>
      </c>
      <c r="M153" s="2">
        <f t="shared" si="2"/>
        <v>5.666666666666667</v>
      </c>
    </row>
    <row r="154" spans="1:13" x14ac:dyDescent="0.25">
      <c r="A154">
        <v>10153</v>
      </c>
      <c r="B154" s="1">
        <v>45444</v>
      </c>
      <c r="C154" s="2" t="s">
        <v>17</v>
      </c>
      <c r="D154" s="2" t="s">
        <v>171</v>
      </c>
      <c r="E154">
        <v>3</v>
      </c>
      <c r="F154">
        <v>54.99</v>
      </c>
      <c r="G154">
        <v>164.97</v>
      </c>
      <c r="H154" s="2" t="s">
        <v>19</v>
      </c>
      <c r="I154" s="2" t="s">
        <v>20</v>
      </c>
      <c r="J154">
        <f>Online_Sales_Data[[#This Row],[Units Sold]]*Online_Sales_Data[[#This Row],[Unit Price]]</f>
        <v>164.97</v>
      </c>
      <c r="K154" s="2">
        <f>MONTH(Online_Sales_Data[[#This Row],[Date]])</f>
        <v>6</v>
      </c>
      <c r="L154" s="2">
        <f>YEAR(Online_Sales_Data[[#This Row],[Date]])</f>
        <v>2024</v>
      </c>
      <c r="M154" s="2">
        <f t="shared" si="2"/>
        <v>6</v>
      </c>
    </row>
    <row r="155" spans="1:13" x14ac:dyDescent="0.25">
      <c r="A155">
        <v>10154</v>
      </c>
      <c r="B155" s="1">
        <v>45445</v>
      </c>
      <c r="C155" s="2" t="s">
        <v>21</v>
      </c>
      <c r="D155" s="2" t="s">
        <v>172</v>
      </c>
      <c r="E155">
        <v>2</v>
      </c>
      <c r="F155">
        <v>16.989999999999998</v>
      </c>
      <c r="G155">
        <v>33.979999999999997</v>
      </c>
      <c r="H155" s="2" t="s">
        <v>11</v>
      </c>
      <c r="I155" s="2" t="s">
        <v>12</v>
      </c>
      <c r="J155">
        <f>Online_Sales_Data[[#This Row],[Units Sold]]*Online_Sales_Data[[#This Row],[Unit Price]]</f>
        <v>33.979999999999997</v>
      </c>
      <c r="K155" s="2">
        <f>MONTH(Online_Sales_Data[[#This Row],[Date]])</f>
        <v>6</v>
      </c>
      <c r="L155" s="2">
        <f>YEAR(Online_Sales_Data[[#This Row],[Date]])</f>
        <v>2024</v>
      </c>
      <c r="M155" s="2">
        <f t="shared" si="2"/>
        <v>6</v>
      </c>
    </row>
    <row r="156" spans="1:13" x14ac:dyDescent="0.25">
      <c r="A156">
        <v>10155</v>
      </c>
      <c r="B156" s="1">
        <v>45446</v>
      </c>
      <c r="C156" s="2" t="s">
        <v>23</v>
      </c>
      <c r="D156" s="2" t="s">
        <v>173</v>
      </c>
      <c r="E156">
        <v>1</v>
      </c>
      <c r="F156">
        <v>59</v>
      </c>
      <c r="G156">
        <v>59</v>
      </c>
      <c r="H156" s="2" t="s">
        <v>15</v>
      </c>
      <c r="I156" s="2" t="s">
        <v>16</v>
      </c>
      <c r="J156">
        <f>Online_Sales_Data[[#This Row],[Units Sold]]*Online_Sales_Data[[#This Row],[Unit Price]]</f>
        <v>59</v>
      </c>
      <c r="K156" s="2">
        <f>MONTH(Online_Sales_Data[[#This Row],[Date]])</f>
        <v>6</v>
      </c>
      <c r="L156" s="2">
        <f>YEAR(Online_Sales_Data[[#This Row],[Date]])</f>
        <v>2024</v>
      </c>
      <c r="M156" s="2">
        <f t="shared" si="2"/>
        <v>6</v>
      </c>
    </row>
    <row r="157" spans="1:13" x14ac:dyDescent="0.25">
      <c r="A157">
        <v>10156</v>
      </c>
      <c r="B157" s="1">
        <v>45447</v>
      </c>
      <c r="C157" s="2" t="s">
        <v>25</v>
      </c>
      <c r="D157" s="2" t="s">
        <v>174</v>
      </c>
      <c r="E157">
        <v>1</v>
      </c>
      <c r="F157">
        <v>299.99</v>
      </c>
      <c r="G157">
        <v>299.99</v>
      </c>
      <c r="H157" s="2" t="s">
        <v>19</v>
      </c>
      <c r="I157" s="2" t="s">
        <v>12</v>
      </c>
      <c r="J157">
        <f>Online_Sales_Data[[#This Row],[Units Sold]]*Online_Sales_Data[[#This Row],[Unit Price]]</f>
        <v>299.99</v>
      </c>
      <c r="K157" s="2">
        <f>MONTH(Online_Sales_Data[[#This Row],[Date]])</f>
        <v>6</v>
      </c>
      <c r="L157" s="2">
        <f>YEAR(Online_Sales_Data[[#This Row],[Date]])</f>
        <v>2024</v>
      </c>
      <c r="M157" s="2">
        <f t="shared" si="2"/>
        <v>6</v>
      </c>
    </row>
    <row r="158" spans="1:13" x14ac:dyDescent="0.25">
      <c r="A158">
        <v>10157</v>
      </c>
      <c r="B158" s="1">
        <v>45448</v>
      </c>
      <c r="C158" s="2" t="s">
        <v>9</v>
      </c>
      <c r="D158" s="2" t="s">
        <v>175</v>
      </c>
      <c r="E158">
        <v>1</v>
      </c>
      <c r="F158">
        <v>899.99</v>
      </c>
      <c r="G158">
        <v>899.99</v>
      </c>
      <c r="H158" s="2" t="s">
        <v>11</v>
      </c>
      <c r="I158" s="2" t="s">
        <v>12</v>
      </c>
      <c r="J158">
        <f>Online_Sales_Data[[#This Row],[Units Sold]]*Online_Sales_Data[[#This Row],[Unit Price]]</f>
        <v>899.99</v>
      </c>
      <c r="K158" s="2">
        <f>MONTH(Online_Sales_Data[[#This Row],[Date]])</f>
        <v>6</v>
      </c>
      <c r="L158" s="2">
        <f>YEAR(Online_Sales_Data[[#This Row],[Date]])</f>
        <v>2024</v>
      </c>
      <c r="M158" s="2">
        <f t="shared" si="2"/>
        <v>6</v>
      </c>
    </row>
    <row r="159" spans="1:13" x14ac:dyDescent="0.25">
      <c r="A159">
        <v>10158</v>
      </c>
      <c r="B159" s="1">
        <v>45449</v>
      </c>
      <c r="C159" s="2" t="s">
        <v>13</v>
      </c>
      <c r="D159" s="2" t="s">
        <v>176</v>
      </c>
      <c r="E159">
        <v>1</v>
      </c>
      <c r="F159">
        <v>499.95</v>
      </c>
      <c r="G159">
        <v>499.95</v>
      </c>
      <c r="H159" s="2" t="s">
        <v>15</v>
      </c>
      <c r="I159" s="2" t="s">
        <v>16</v>
      </c>
      <c r="J159">
        <f>Online_Sales_Data[[#This Row],[Units Sold]]*Online_Sales_Data[[#This Row],[Unit Price]]</f>
        <v>499.95</v>
      </c>
      <c r="K159" s="2">
        <f>MONTH(Online_Sales_Data[[#This Row],[Date]])</f>
        <v>6</v>
      </c>
      <c r="L159" s="2">
        <f>YEAR(Online_Sales_Data[[#This Row],[Date]])</f>
        <v>2024</v>
      </c>
      <c r="M159" s="2">
        <f t="shared" si="2"/>
        <v>6</v>
      </c>
    </row>
    <row r="160" spans="1:13" x14ac:dyDescent="0.25">
      <c r="A160">
        <v>10159</v>
      </c>
      <c r="B160" s="1">
        <v>45450</v>
      </c>
      <c r="C160" s="2" t="s">
        <v>17</v>
      </c>
      <c r="D160" s="2" t="s">
        <v>177</v>
      </c>
      <c r="E160">
        <v>4</v>
      </c>
      <c r="F160">
        <v>24.99</v>
      </c>
      <c r="G160">
        <v>99.96</v>
      </c>
      <c r="H160" s="2" t="s">
        <v>19</v>
      </c>
      <c r="I160" s="2" t="s">
        <v>20</v>
      </c>
      <c r="J160">
        <f>Online_Sales_Data[[#This Row],[Units Sold]]*Online_Sales_Data[[#This Row],[Unit Price]]</f>
        <v>99.96</v>
      </c>
      <c r="K160" s="2">
        <f>MONTH(Online_Sales_Data[[#This Row],[Date]])</f>
        <v>6</v>
      </c>
      <c r="L160" s="2">
        <f>YEAR(Online_Sales_Data[[#This Row],[Date]])</f>
        <v>2024</v>
      </c>
      <c r="M160" s="2">
        <f t="shared" si="2"/>
        <v>6</v>
      </c>
    </row>
    <row r="161" spans="1:13" x14ac:dyDescent="0.25">
      <c r="A161">
        <v>10160</v>
      </c>
      <c r="B161" s="1">
        <v>45451</v>
      </c>
      <c r="C161" s="2" t="s">
        <v>21</v>
      </c>
      <c r="D161" s="2" t="s">
        <v>178</v>
      </c>
      <c r="E161">
        <v>3</v>
      </c>
      <c r="F161">
        <v>7.99</v>
      </c>
      <c r="G161">
        <v>23.97</v>
      </c>
      <c r="H161" s="2" t="s">
        <v>11</v>
      </c>
      <c r="I161" s="2" t="s">
        <v>12</v>
      </c>
      <c r="J161">
        <f>Online_Sales_Data[[#This Row],[Units Sold]]*Online_Sales_Data[[#This Row],[Unit Price]]</f>
        <v>23.97</v>
      </c>
      <c r="K161" s="2">
        <f>MONTH(Online_Sales_Data[[#This Row],[Date]])</f>
        <v>6</v>
      </c>
      <c r="L161" s="2">
        <f>YEAR(Online_Sales_Data[[#This Row],[Date]])</f>
        <v>2024</v>
      </c>
      <c r="M161" s="2">
        <f t="shared" si="2"/>
        <v>6</v>
      </c>
    </row>
    <row r="162" spans="1:13" x14ac:dyDescent="0.25">
      <c r="A162">
        <v>10161</v>
      </c>
      <c r="B162" s="1">
        <v>45452</v>
      </c>
      <c r="C162" s="2" t="s">
        <v>23</v>
      </c>
      <c r="D162" s="2" t="s">
        <v>179</v>
      </c>
      <c r="E162">
        <v>1</v>
      </c>
      <c r="F162">
        <v>36</v>
      </c>
      <c r="G162">
        <v>36</v>
      </c>
      <c r="H162" s="2" t="s">
        <v>15</v>
      </c>
      <c r="I162" s="2" t="s">
        <v>16</v>
      </c>
      <c r="J162">
        <f>Online_Sales_Data[[#This Row],[Units Sold]]*Online_Sales_Data[[#This Row],[Unit Price]]</f>
        <v>36</v>
      </c>
      <c r="K162" s="2">
        <f>MONTH(Online_Sales_Data[[#This Row],[Date]])</f>
        <v>6</v>
      </c>
      <c r="L162" s="2">
        <f>YEAR(Online_Sales_Data[[#This Row],[Date]])</f>
        <v>2024</v>
      </c>
      <c r="M162" s="2">
        <f t="shared" si="2"/>
        <v>6</v>
      </c>
    </row>
    <row r="163" spans="1:13" x14ac:dyDescent="0.25">
      <c r="A163">
        <v>10162</v>
      </c>
      <c r="B163" s="1">
        <v>45453</v>
      </c>
      <c r="C163" s="2" t="s">
        <v>25</v>
      </c>
      <c r="D163" s="2" t="s">
        <v>180</v>
      </c>
      <c r="E163">
        <v>2</v>
      </c>
      <c r="F163">
        <v>34.99</v>
      </c>
      <c r="G163">
        <v>69.98</v>
      </c>
      <c r="H163" s="2" t="s">
        <v>19</v>
      </c>
      <c r="I163" s="2" t="s">
        <v>12</v>
      </c>
      <c r="J163">
        <f>Online_Sales_Data[[#This Row],[Units Sold]]*Online_Sales_Data[[#This Row],[Unit Price]]</f>
        <v>69.98</v>
      </c>
      <c r="K163" s="2">
        <f>MONTH(Online_Sales_Data[[#This Row],[Date]])</f>
        <v>6</v>
      </c>
      <c r="L163" s="2">
        <f>YEAR(Online_Sales_Data[[#This Row],[Date]])</f>
        <v>2024</v>
      </c>
      <c r="M163" s="2">
        <f t="shared" si="2"/>
        <v>6</v>
      </c>
    </row>
    <row r="164" spans="1:13" x14ac:dyDescent="0.25">
      <c r="A164">
        <v>10163</v>
      </c>
      <c r="B164" s="1">
        <v>45454</v>
      </c>
      <c r="C164" s="2" t="s">
        <v>9</v>
      </c>
      <c r="D164" s="2" t="s">
        <v>181</v>
      </c>
      <c r="E164">
        <v>1</v>
      </c>
      <c r="F164">
        <v>1199.99</v>
      </c>
      <c r="G164">
        <v>1199.99</v>
      </c>
      <c r="H164" s="2" t="s">
        <v>11</v>
      </c>
      <c r="I164" s="2" t="s">
        <v>12</v>
      </c>
      <c r="J164">
        <f>Online_Sales_Data[[#This Row],[Units Sold]]*Online_Sales_Data[[#This Row],[Unit Price]]</f>
        <v>1199.99</v>
      </c>
      <c r="K164" s="2">
        <f>MONTH(Online_Sales_Data[[#This Row],[Date]])</f>
        <v>6</v>
      </c>
      <c r="L164" s="2">
        <f>YEAR(Online_Sales_Data[[#This Row],[Date]])</f>
        <v>2024</v>
      </c>
      <c r="M164" s="2">
        <f t="shared" si="2"/>
        <v>6</v>
      </c>
    </row>
    <row r="165" spans="1:13" x14ac:dyDescent="0.25">
      <c r="A165">
        <v>10164</v>
      </c>
      <c r="B165" s="1">
        <v>45455</v>
      </c>
      <c r="C165" s="2" t="s">
        <v>13</v>
      </c>
      <c r="D165" s="2" t="s">
        <v>182</v>
      </c>
      <c r="E165">
        <v>1</v>
      </c>
      <c r="F165">
        <v>199.99</v>
      </c>
      <c r="G165">
        <v>199.99</v>
      </c>
      <c r="H165" s="2" t="s">
        <v>15</v>
      </c>
      <c r="I165" s="2" t="s">
        <v>16</v>
      </c>
      <c r="J165">
        <f>Online_Sales_Data[[#This Row],[Units Sold]]*Online_Sales_Data[[#This Row],[Unit Price]]</f>
        <v>199.99</v>
      </c>
      <c r="K165" s="2">
        <f>MONTH(Online_Sales_Data[[#This Row],[Date]])</f>
        <v>6</v>
      </c>
      <c r="L165" s="2">
        <f>YEAR(Online_Sales_Data[[#This Row],[Date]])</f>
        <v>2024</v>
      </c>
      <c r="M165" s="2">
        <f t="shared" si="2"/>
        <v>6</v>
      </c>
    </row>
    <row r="166" spans="1:13" x14ac:dyDescent="0.25">
      <c r="A166">
        <v>10165</v>
      </c>
      <c r="B166" s="1">
        <v>45456</v>
      </c>
      <c r="C166" s="2" t="s">
        <v>17</v>
      </c>
      <c r="D166" s="2" t="s">
        <v>183</v>
      </c>
      <c r="E166">
        <v>5</v>
      </c>
      <c r="F166">
        <v>29.99</v>
      </c>
      <c r="G166">
        <v>149.94999999999999</v>
      </c>
      <c r="H166" s="2" t="s">
        <v>19</v>
      </c>
      <c r="I166" s="2" t="s">
        <v>20</v>
      </c>
      <c r="J166">
        <f>Online_Sales_Data[[#This Row],[Units Sold]]*Online_Sales_Data[[#This Row],[Unit Price]]</f>
        <v>149.94999999999999</v>
      </c>
      <c r="K166" s="2">
        <f>MONTH(Online_Sales_Data[[#This Row],[Date]])</f>
        <v>6</v>
      </c>
      <c r="L166" s="2">
        <f>YEAR(Online_Sales_Data[[#This Row],[Date]])</f>
        <v>2024</v>
      </c>
      <c r="M166" s="2">
        <f t="shared" si="2"/>
        <v>6</v>
      </c>
    </row>
    <row r="167" spans="1:13" x14ac:dyDescent="0.25">
      <c r="A167">
        <v>10166</v>
      </c>
      <c r="B167" s="1">
        <v>45457</v>
      </c>
      <c r="C167" s="2" t="s">
        <v>21</v>
      </c>
      <c r="D167" s="2" t="s">
        <v>184</v>
      </c>
      <c r="E167">
        <v>4</v>
      </c>
      <c r="F167">
        <v>8.99</v>
      </c>
      <c r="G167">
        <v>35.96</v>
      </c>
      <c r="H167" s="2" t="s">
        <v>11</v>
      </c>
      <c r="I167" s="2" t="s">
        <v>12</v>
      </c>
      <c r="J167">
        <f>Online_Sales_Data[[#This Row],[Units Sold]]*Online_Sales_Data[[#This Row],[Unit Price]]</f>
        <v>35.96</v>
      </c>
      <c r="K167" s="2">
        <f>MONTH(Online_Sales_Data[[#This Row],[Date]])</f>
        <v>6</v>
      </c>
      <c r="L167" s="2">
        <f>YEAR(Online_Sales_Data[[#This Row],[Date]])</f>
        <v>2024</v>
      </c>
      <c r="M167" s="2">
        <f t="shared" si="2"/>
        <v>6</v>
      </c>
    </row>
    <row r="168" spans="1:13" x14ac:dyDescent="0.25">
      <c r="A168">
        <v>10167</v>
      </c>
      <c r="B168" s="1">
        <v>45458</v>
      </c>
      <c r="C168" s="2" t="s">
        <v>23</v>
      </c>
      <c r="D168" s="2" t="s">
        <v>185</v>
      </c>
      <c r="E168">
        <v>1</v>
      </c>
      <c r="F168">
        <v>16.989999999999998</v>
      </c>
      <c r="G168">
        <v>16.989999999999998</v>
      </c>
      <c r="H168" s="2" t="s">
        <v>15</v>
      </c>
      <c r="I168" s="2" t="s">
        <v>16</v>
      </c>
      <c r="J168">
        <f>Online_Sales_Data[[#This Row],[Units Sold]]*Online_Sales_Data[[#This Row],[Unit Price]]</f>
        <v>16.989999999999998</v>
      </c>
      <c r="K168" s="2">
        <f>MONTH(Online_Sales_Data[[#This Row],[Date]])</f>
        <v>6</v>
      </c>
      <c r="L168" s="2">
        <f>YEAR(Online_Sales_Data[[#This Row],[Date]])</f>
        <v>2024</v>
      </c>
      <c r="M168" s="2">
        <f t="shared" si="2"/>
        <v>6</v>
      </c>
    </row>
    <row r="169" spans="1:13" x14ac:dyDescent="0.25">
      <c r="A169">
        <v>10168</v>
      </c>
      <c r="B169" s="1">
        <v>45459</v>
      </c>
      <c r="C169" s="2" t="s">
        <v>25</v>
      </c>
      <c r="D169" s="2" t="s">
        <v>186</v>
      </c>
      <c r="E169">
        <v>3</v>
      </c>
      <c r="F169">
        <v>49.99</v>
      </c>
      <c r="G169">
        <v>149.97</v>
      </c>
      <c r="H169" s="2" t="s">
        <v>19</v>
      </c>
      <c r="I169" s="2" t="s">
        <v>12</v>
      </c>
      <c r="J169">
        <f>Online_Sales_Data[[#This Row],[Units Sold]]*Online_Sales_Data[[#This Row],[Unit Price]]</f>
        <v>149.97</v>
      </c>
      <c r="K169" s="2">
        <f>MONTH(Online_Sales_Data[[#This Row],[Date]])</f>
        <v>6</v>
      </c>
      <c r="L169" s="2">
        <f>YEAR(Online_Sales_Data[[#This Row],[Date]])</f>
        <v>2024</v>
      </c>
      <c r="M169" s="2">
        <f t="shared" si="2"/>
        <v>6</v>
      </c>
    </row>
    <row r="170" spans="1:13" x14ac:dyDescent="0.25">
      <c r="A170">
        <v>10169</v>
      </c>
      <c r="B170" s="1">
        <v>45460</v>
      </c>
      <c r="C170" s="2" t="s">
        <v>9</v>
      </c>
      <c r="D170" s="2" t="s">
        <v>187</v>
      </c>
      <c r="E170">
        <v>1</v>
      </c>
      <c r="F170">
        <v>699.99</v>
      </c>
      <c r="G170">
        <v>699.99</v>
      </c>
      <c r="H170" s="2" t="s">
        <v>11</v>
      </c>
      <c r="I170" s="2" t="s">
        <v>12</v>
      </c>
      <c r="J170">
        <f>Online_Sales_Data[[#This Row],[Units Sold]]*Online_Sales_Data[[#This Row],[Unit Price]]</f>
        <v>699.99</v>
      </c>
      <c r="K170" s="2">
        <f>MONTH(Online_Sales_Data[[#This Row],[Date]])</f>
        <v>6</v>
      </c>
      <c r="L170" s="2">
        <f>YEAR(Online_Sales_Data[[#This Row],[Date]])</f>
        <v>2024</v>
      </c>
      <c r="M170" s="2">
        <f t="shared" si="2"/>
        <v>6</v>
      </c>
    </row>
    <row r="171" spans="1:13" x14ac:dyDescent="0.25">
      <c r="A171">
        <v>10170</v>
      </c>
      <c r="B171" s="1">
        <v>45461</v>
      </c>
      <c r="C171" s="2" t="s">
        <v>13</v>
      </c>
      <c r="D171" s="2" t="s">
        <v>188</v>
      </c>
      <c r="E171">
        <v>2</v>
      </c>
      <c r="F171">
        <v>139.99</v>
      </c>
      <c r="G171">
        <v>279.98</v>
      </c>
      <c r="H171" s="2" t="s">
        <v>15</v>
      </c>
      <c r="I171" s="2" t="s">
        <v>16</v>
      </c>
      <c r="J171">
        <f>Online_Sales_Data[[#This Row],[Units Sold]]*Online_Sales_Data[[#This Row],[Unit Price]]</f>
        <v>279.98</v>
      </c>
      <c r="K171" s="2">
        <f>MONTH(Online_Sales_Data[[#This Row],[Date]])</f>
        <v>6</v>
      </c>
      <c r="L171" s="2">
        <f>YEAR(Online_Sales_Data[[#This Row],[Date]])</f>
        <v>2024</v>
      </c>
      <c r="M171" s="2">
        <f t="shared" si="2"/>
        <v>6</v>
      </c>
    </row>
    <row r="172" spans="1:13" x14ac:dyDescent="0.25">
      <c r="A172">
        <v>10171</v>
      </c>
      <c r="B172" s="1">
        <v>45462</v>
      </c>
      <c r="C172" s="2" t="s">
        <v>17</v>
      </c>
      <c r="D172" s="2" t="s">
        <v>189</v>
      </c>
      <c r="E172">
        <v>3</v>
      </c>
      <c r="F172">
        <v>34.99</v>
      </c>
      <c r="G172">
        <v>104.97</v>
      </c>
      <c r="H172" s="2" t="s">
        <v>19</v>
      </c>
      <c r="I172" s="2" t="s">
        <v>20</v>
      </c>
      <c r="J172">
        <f>Online_Sales_Data[[#This Row],[Units Sold]]*Online_Sales_Data[[#This Row],[Unit Price]]</f>
        <v>104.97</v>
      </c>
      <c r="K172" s="2">
        <f>MONTH(Online_Sales_Data[[#This Row],[Date]])</f>
        <v>6</v>
      </c>
      <c r="L172" s="2">
        <f>YEAR(Online_Sales_Data[[#This Row],[Date]])</f>
        <v>2024</v>
      </c>
      <c r="M172" s="2">
        <f t="shared" si="2"/>
        <v>6</v>
      </c>
    </row>
    <row r="173" spans="1:13" x14ac:dyDescent="0.25">
      <c r="A173">
        <v>10172</v>
      </c>
      <c r="B173" s="1">
        <v>45463</v>
      </c>
      <c r="C173" s="2" t="s">
        <v>21</v>
      </c>
      <c r="D173" s="2" t="s">
        <v>190</v>
      </c>
      <c r="E173">
        <v>2</v>
      </c>
      <c r="F173">
        <v>9.99</v>
      </c>
      <c r="G173">
        <v>19.98</v>
      </c>
      <c r="H173" s="2" t="s">
        <v>11</v>
      </c>
      <c r="I173" s="2" t="s">
        <v>12</v>
      </c>
      <c r="J173">
        <f>Online_Sales_Data[[#This Row],[Units Sold]]*Online_Sales_Data[[#This Row],[Unit Price]]</f>
        <v>19.98</v>
      </c>
      <c r="K173" s="2">
        <f>MONTH(Online_Sales_Data[[#This Row],[Date]])</f>
        <v>6</v>
      </c>
      <c r="L173" s="2">
        <f>YEAR(Online_Sales_Data[[#This Row],[Date]])</f>
        <v>2024</v>
      </c>
      <c r="M173" s="2">
        <f t="shared" si="2"/>
        <v>6</v>
      </c>
    </row>
    <row r="174" spans="1:13" x14ac:dyDescent="0.25">
      <c r="A174">
        <v>10173</v>
      </c>
      <c r="B174" s="1">
        <v>45464</v>
      </c>
      <c r="C174" s="2" t="s">
        <v>23</v>
      </c>
      <c r="D174" s="2" t="s">
        <v>191</v>
      </c>
      <c r="E174">
        <v>1</v>
      </c>
      <c r="F174">
        <v>29.5</v>
      </c>
      <c r="G174">
        <v>29.5</v>
      </c>
      <c r="H174" s="2" t="s">
        <v>15</v>
      </c>
      <c r="I174" s="2" t="s">
        <v>16</v>
      </c>
      <c r="J174">
        <f>Online_Sales_Data[[#This Row],[Units Sold]]*Online_Sales_Data[[#This Row],[Unit Price]]</f>
        <v>29.5</v>
      </c>
      <c r="K174" s="2">
        <f>MONTH(Online_Sales_Data[[#This Row],[Date]])</f>
        <v>6</v>
      </c>
      <c r="L174" s="2">
        <f>YEAR(Online_Sales_Data[[#This Row],[Date]])</f>
        <v>2024</v>
      </c>
      <c r="M174" s="2">
        <f t="shared" si="2"/>
        <v>6</v>
      </c>
    </row>
    <row r="175" spans="1:13" x14ac:dyDescent="0.25">
      <c r="A175">
        <v>10174</v>
      </c>
      <c r="B175" s="1">
        <v>45465</v>
      </c>
      <c r="C175" s="2" t="s">
        <v>25</v>
      </c>
      <c r="D175" s="2" t="s">
        <v>192</v>
      </c>
      <c r="E175">
        <v>1</v>
      </c>
      <c r="F175">
        <v>699.99</v>
      </c>
      <c r="G175">
        <v>699.99</v>
      </c>
      <c r="H175" s="2" t="s">
        <v>19</v>
      </c>
      <c r="I175" s="2" t="s">
        <v>12</v>
      </c>
      <c r="J175">
        <f>Online_Sales_Data[[#This Row],[Units Sold]]*Online_Sales_Data[[#This Row],[Unit Price]]</f>
        <v>699.99</v>
      </c>
      <c r="K175" s="2">
        <f>MONTH(Online_Sales_Data[[#This Row],[Date]])</f>
        <v>6</v>
      </c>
      <c r="L175" s="2">
        <f>YEAR(Online_Sales_Data[[#This Row],[Date]])</f>
        <v>2024</v>
      </c>
      <c r="M175" s="2">
        <f t="shared" si="2"/>
        <v>6</v>
      </c>
    </row>
    <row r="176" spans="1:13" x14ac:dyDescent="0.25">
      <c r="A176">
        <v>10175</v>
      </c>
      <c r="B176" s="1">
        <v>45466</v>
      </c>
      <c r="C176" s="2" t="s">
        <v>9</v>
      </c>
      <c r="D176" s="2" t="s">
        <v>193</v>
      </c>
      <c r="E176">
        <v>3</v>
      </c>
      <c r="F176">
        <v>49.99</v>
      </c>
      <c r="G176">
        <v>149.97</v>
      </c>
      <c r="H176" s="2" t="s">
        <v>11</v>
      </c>
      <c r="I176" s="2" t="s">
        <v>12</v>
      </c>
      <c r="J176">
        <f>Online_Sales_Data[[#This Row],[Units Sold]]*Online_Sales_Data[[#This Row],[Unit Price]]</f>
        <v>149.97</v>
      </c>
      <c r="K176" s="2">
        <f>MONTH(Online_Sales_Data[[#This Row],[Date]])</f>
        <v>6</v>
      </c>
      <c r="L176" s="2">
        <f>YEAR(Online_Sales_Data[[#This Row],[Date]])</f>
        <v>2024</v>
      </c>
      <c r="M176" s="2">
        <f t="shared" si="2"/>
        <v>6</v>
      </c>
    </row>
    <row r="177" spans="1:13" x14ac:dyDescent="0.25">
      <c r="A177">
        <v>10176</v>
      </c>
      <c r="B177" s="1">
        <v>45467</v>
      </c>
      <c r="C177" s="2" t="s">
        <v>13</v>
      </c>
      <c r="D177" s="2" t="s">
        <v>194</v>
      </c>
      <c r="E177">
        <v>2</v>
      </c>
      <c r="F177">
        <v>49.99</v>
      </c>
      <c r="G177">
        <v>99.98</v>
      </c>
      <c r="H177" s="2" t="s">
        <v>15</v>
      </c>
      <c r="I177" s="2" t="s">
        <v>16</v>
      </c>
      <c r="J177">
        <f>Online_Sales_Data[[#This Row],[Units Sold]]*Online_Sales_Data[[#This Row],[Unit Price]]</f>
        <v>99.98</v>
      </c>
      <c r="K177" s="2">
        <f>MONTH(Online_Sales_Data[[#This Row],[Date]])</f>
        <v>6</v>
      </c>
      <c r="L177" s="2">
        <f>YEAR(Online_Sales_Data[[#This Row],[Date]])</f>
        <v>2024</v>
      </c>
      <c r="M177" s="2">
        <f t="shared" si="2"/>
        <v>6</v>
      </c>
    </row>
    <row r="178" spans="1:13" x14ac:dyDescent="0.25">
      <c r="A178">
        <v>10177</v>
      </c>
      <c r="B178" s="1">
        <v>45468</v>
      </c>
      <c r="C178" s="2" t="s">
        <v>17</v>
      </c>
      <c r="D178" s="2" t="s">
        <v>195</v>
      </c>
      <c r="E178">
        <v>4</v>
      </c>
      <c r="F178">
        <v>14.9</v>
      </c>
      <c r="G178">
        <v>59.6</v>
      </c>
      <c r="H178" s="2" t="s">
        <v>19</v>
      </c>
      <c r="I178" s="2" t="s">
        <v>20</v>
      </c>
      <c r="J178">
        <f>Online_Sales_Data[[#This Row],[Units Sold]]*Online_Sales_Data[[#This Row],[Unit Price]]</f>
        <v>59.6</v>
      </c>
      <c r="K178" s="2">
        <f>MONTH(Online_Sales_Data[[#This Row],[Date]])</f>
        <v>6</v>
      </c>
      <c r="L178" s="2">
        <f>YEAR(Online_Sales_Data[[#This Row],[Date]])</f>
        <v>2024</v>
      </c>
      <c r="M178" s="2">
        <f t="shared" si="2"/>
        <v>6</v>
      </c>
    </row>
    <row r="179" spans="1:13" x14ac:dyDescent="0.25">
      <c r="A179">
        <v>10178</v>
      </c>
      <c r="B179" s="1">
        <v>45469</v>
      </c>
      <c r="C179" s="2" t="s">
        <v>21</v>
      </c>
      <c r="D179" s="2" t="s">
        <v>196</v>
      </c>
      <c r="E179">
        <v>3</v>
      </c>
      <c r="F179">
        <v>11.99</v>
      </c>
      <c r="G179">
        <v>35.97</v>
      </c>
      <c r="H179" s="2" t="s">
        <v>11</v>
      </c>
      <c r="I179" s="2" t="s">
        <v>12</v>
      </c>
      <c r="J179">
        <f>Online_Sales_Data[[#This Row],[Units Sold]]*Online_Sales_Data[[#This Row],[Unit Price]]</f>
        <v>35.97</v>
      </c>
      <c r="K179" s="2">
        <f>MONTH(Online_Sales_Data[[#This Row],[Date]])</f>
        <v>6</v>
      </c>
      <c r="L179" s="2">
        <f>YEAR(Online_Sales_Data[[#This Row],[Date]])</f>
        <v>2024</v>
      </c>
      <c r="M179" s="2">
        <f t="shared" si="2"/>
        <v>6</v>
      </c>
    </row>
    <row r="180" spans="1:13" x14ac:dyDescent="0.25">
      <c r="A180">
        <v>10179</v>
      </c>
      <c r="B180" s="1">
        <v>45470</v>
      </c>
      <c r="C180" s="2" t="s">
        <v>23</v>
      </c>
      <c r="D180" s="2" t="s">
        <v>197</v>
      </c>
      <c r="E180">
        <v>2</v>
      </c>
      <c r="F180">
        <v>34</v>
      </c>
      <c r="G180">
        <v>68</v>
      </c>
      <c r="H180" s="2" t="s">
        <v>15</v>
      </c>
      <c r="I180" s="2" t="s">
        <v>16</v>
      </c>
      <c r="J180">
        <f>Online_Sales_Data[[#This Row],[Units Sold]]*Online_Sales_Data[[#This Row],[Unit Price]]</f>
        <v>68</v>
      </c>
      <c r="K180" s="2">
        <f>MONTH(Online_Sales_Data[[#This Row],[Date]])</f>
        <v>6</v>
      </c>
      <c r="L180" s="2">
        <f>YEAR(Online_Sales_Data[[#This Row],[Date]])</f>
        <v>2024</v>
      </c>
      <c r="M180" s="2">
        <f t="shared" si="2"/>
        <v>6</v>
      </c>
    </row>
    <row r="181" spans="1:13" x14ac:dyDescent="0.25">
      <c r="A181">
        <v>10180</v>
      </c>
      <c r="B181" s="1">
        <v>45471</v>
      </c>
      <c r="C181" s="2" t="s">
        <v>25</v>
      </c>
      <c r="D181" s="2" t="s">
        <v>198</v>
      </c>
      <c r="E181">
        <v>1</v>
      </c>
      <c r="F181">
        <v>146</v>
      </c>
      <c r="G181">
        <v>146</v>
      </c>
      <c r="H181" s="2" t="s">
        <v>19</v>
      </c>
      <c r="I181" s="2" t="s">
        <v>12</v>
      </c>
      <c r="J181">
        <f>Online_Sales_Data[[#This Row],[Units Sold]]*Online_Sales_Data[[#This Row],[Unit Price]]</f>
        <v>146</v>
      </c>
      <c r="K181" s="2">
        <f>MONTH(Online_Sales_Data[[#This Row],[Date]])</f>
        <v>6</v>
      </c>
      <c r="L181" s="2">
        <f>YEAR(Online_Sales_Data[[#This Row],[Date]])</f>
        <v>2024</v>
      </c>
      <c r="M181" s="2">
        <f t="shared" si="2"/>
        <v>6</v>
      </c>
    </row>
    <row r="182" spans="1:13" x14ac:dyDescent="0.25">
      <c r="A182">
        <v>10181</v>
      </c>
      <c r="B182" s="1">
        <v>45472</v>
      </c>
      <c r="C182" s="2" t="s">
        <v>9</v>
      </c>
      <c r="D182" s="2" t="s">
        <v>199</v>
      </c>
      <c r="E182">
        <v>1</v>
      </c>
      <c r="F182">
        <v>649.99</v>
      </c>
      <c r="G182">
        <v>649.99</v>
      </c>
      <c r="H182" s="2" t="s">
        <v>11</v>
      </c>
      <c r="I182" s="2" t="s">
        <v>12</v>
      </c>
      <c r="J182">
        <f>Online_Sales_Data[[#This Row],[Units Sold]]*Online_Sales_Data[[#This Row],[Unit Price]]</f>
        <v>649.99</v>
      </c>
      <c r="K182" s="2">
        <f>MONTH(Online_Sales_Data[[#This Row],[Date]])</f>
        <v>6</v>
      </c>
      <c r="L182" s="2">
        <f>YEAR(Online_Sales_Data[[#This Row],[Date]])</f>
        <v>2024</v>
      </c>
      <c r="M182" s="2">
        <f t="shared" si="2"/>
        <v>6.333333333333333</v>
      </c>
    </row>
    <row r="183" spans="1:13" x14ac:dyDescent="0.25">
      <c r="A183">
        <v>10182</v>
      </c>
      <c r="B183" s="1">
        <v>45473</v>
      </c>
      <c r="C183" s="2" t="s">
        <v>13</v>
      </c>
      <c r="D183" s="2" t="s">
        <v>200</v>
      </c>
      <c r="E183">
        <v>1</v>
      </c>
      <c r="F183">
        <v>399.99</v>
      </c>
      <c r="G183">
        <v>399.99</v>
      </c>
      <c r="H183" s="2" t="s">
        <v>15</v>
      </c>
      <c r="I183" s="2" t="s">
        <v>16</v>
      </c>
      <c r="J183">
        <f>Online_Sales_Data[[#This Row],[Units Sold]]*Online_Sales_Data[[#This Row],[Unit Price]]</f>
        <v>399.99</v>
      </c>
      <c r="K183" s="2">
        <f>MONTH(Online_Sales_Data[[#This Row],[Date]])</f>
        <v>6</v>
      </c>
      <c r="L183" s="2">
        <f>YEAR(Online_Sales_Data[[#This Row],[Date]])</f>
        <v>2024</v>
      </c>
      <c r="M183" s="2">
        <f t="shared" si="2"/>
        <v>6.666666666666667</v>
      </c>
    </row>
    <row r="184" spans="1:13" x14ac:dyDescent="0.25">
      <c r="A184">
        <v>10183</v>
      </c>
      <c r="B184" s="1">
        <v>45474</v>
      </c>
      <c r="C184" s="2" t="s">
        <v>17</v>
      </c>
      <c r="D184" s="2" t="s">
        <v>201</v>
      </c>
      <c r="E184">
        <v>3</v>
      </c>
      <c r="F184">
        <v>59.99</v>
      </c>
      <c r="G184">
        <v>179.97</v>
      </c>
      <c r="H184" s="2" t="s">
        <v>19</v>
      </c>
      <c r="I184" s="2" t="s">
        <v>20</v>
      </c>
      <c r="J184">
        <f>Online_Sales_Data[[#This Row],[Units Sold]]*Online_Sales_Data[[#This Row],[Unit Price]]</f>
        <v>179.97</v>
      </c>
      <c r="K184" s="2">
        <f>MONTH(Online_Sales_Data[[#This Row],[Date]])</f>
        <v>7</v>
      </c>
      <c r="L184" s="2">
        <f>YEAR(Online_Sales_Data[[#This Row],[Date]])</f>
        <v>2024</v>
      </c>
      <c r="M184" s="2">
        <f t="shared" si="2"/>
        <v>7</v>
      </c>
    </row>
    <row r="185" spans="1:13" x14ac:dyDescent="0.25">
      <c r="A185">
        <v>10184</v>
      </c>
      <c r="B185" s="1">
        <v>45475</v>
      </c>
      <c r="C185" s="2" t="s">
        <v>21</v>
      </c>
      <c r="D185" s="2" t="s">
        <v>202</v>
      </c>
      <c r="E185">
        <v>2</v>
      </c>
      <c r="F185">
        <v>12.99</v>
      </c>
      <c r="G185">
        <v>25.98</v>
      </c>
      <c r="H185" s="2" t="s">
        <v>11</v>
      </c>
      <c r="I185" s="2" t="s">
        <v>12</v>
      </c>
      <c r="J185">
        <f>Online_Sales_Data[[#This Row],[Units Sold]]*Online_Sales_Data[[#This Row],[Unit Price]]</f>
        <v>25.98</v>
      </c>
      <c r="K185" s="2">
        <f>MONTH(Online_Sales_Data[[#This Row],[Date]])</f>
        <v>7</v>
      </c>
      <c r="L185" s="2">
        <f>YEAR(Online_Sales_Data[[#This Row],[Date]])</f>
        <v>2024</v>
      </c>
      <c r="M185" s="2">
        <f t="shared" si="2"/>
        <v>7</v>
      </c>
    </row>
    <row r="186" spans="1:13" x14ac:dyDescent="0.25">
      <c r="A186">
        <v>10185</v>
      </c>
      <c r="B186" s="1">
        <v>45476</v>
      </c>
      <c r="C186" s="2" t="s">
        <v>23</v>
      </c>
      <c r="D186" s="2" t="s">
        <v>203</v>
      </c>
      <c r="E186">
        <v>1</v>
      </c>
      <c r="F186">
        <v>190</v>
      </c>
      <c r="G186">
        <v>190</v>
      </c>
      <c r="H186" s="2" t="s">
        <v>15</v>
      </c>
      <c r="I186" s="2" t="s">
        <v>16</v>
      </c>
      <c r="J186">
        <f>Online_Sales_Data[[#This Row],[Units Sold]]*Online_Sales_Data[[#This Row],[Unit Price]]</f>
        <v>190</v>
      </c>
      <c r="K186" s="2">
        <f>MONTH(Online_Sales_Data[[#This Row],[Date]])</f>
        <v>7</v>
      </c>
      <c r="L186" s="2">
        <f>YEAR(Online_Sales_Data[[#This Row],[Date]])</f>
        <v>2024</v>
      </c>
      <c r="M186" s="2">
        <f t="shared" si="2"/>
        <v>7</v>
      </c>
    </row>
    <row r="187" spans="1:13" x14ac:dyDescent="0.25">
      <c r="A187">
        <v>10186</v>
      </c>
      <c r="B187" s="1">
        <v>45477</v>
      </c>
      <c r="C187" s="2" t="s">
        <v>25</v>
      </c>
      <c r="D187" s="2" t="s">
        <v>204</v>
      </c>
      <c r="E187">
        <v>1</v>
      </c>
      <c r="F187">
        <v>499.95</v>
      </c>
      <c r="G187">
        <v>499.95</v>
      </c>
      <c r="H187" s="2" t="s">
        <v>19</v>
      </c>
      <c r="I187" s="2" t="s">
        <v>12</v>
      </c>
      <c r="J187">
        <f>Online_Sales_Data[[#This Row],[Units Sold]]*Online_Sales_Data[[#This Row],[Unit Price]]</f>
        <v>499.95</v>
      </c>
      <c r="K187" s="2">
        <f>MONTH(Online_Sales_Data[[#This Row],[Date]])</f>
        <v>7</v>
      </c>
      <c r="L187" s="2">
        <f>YEAR(Online_Sales_Data[[#This Row],[Date]])</f>
        <v>2024</v>
      </c>
      <c r="M187" s="2">
        <f t="shared" si="2"/>
        <v>7</v>
      </c>
    </row>
    <row r="188" spans="1:13" x14ac:dyDescent="0.25">
      <c r="A188">
        <v>10187</v>
      </c>
      <c r="B188" s="1">
        <v>45478</v>
      </c>
      <c r="C188" s="2" t="s">
        <v>9</v>
      </c>
      <c r="D188" s="2" t="s">
        <v>205</v>
      </c>
      <c r="E188">
        <v>1</v>
      </c>
      <c r="F188">
        <v>399</v>
      </c>
      <c r="G188">
        <v>399</v>
      </c>
      <c r="H188" s="2" t="s">
        <v>11</v>
      </c>
      <c r="I188" s="2" t="s">
        <v>12</v>
      </c>
      <c r="J188">
        <f>Online_Sales_Data[[#This Row],[Units Sold]]*Online_Sales_Data[[#This Row],[Unit Price]]</f>
        <v>399</v>
      </c>
      <c r="K188" s="2">
        <f>MONTH(Online_Sales_Data[[#This Row],[Date]])</f>
        <v>7</v>
      </c>
      <c r="L188" s="2">
        <f>YEAR(Online_Sales_Data[[#This Row],[Date]])</f>
        <v>2024</v>
      </c>
      <c r="M188" s="2">
        <f t="shared" si="2"/>
        <v>7</v>
      </c>
    </row>
    <row r="189" spans="1:13" x14ac:dyDescent="0.25">
      <c r="A189">
        <v>10188</v>
      </c>
      <c r="B189" s="1">
        <v>45479</v>
      </c>
      <c r="C189" s="2" t="s">
        <v>13</v>
      </c>
      <c r="D189" s="2" t="s">
        <v>206</v>
      </c>
      <c r="E189">
        <v>2</v>
      </c>
      <c r="F189">
        <v>199</v>
      </c>
      <c r="G189">
        <v>398</v>
      </c>
      <c r="H189" s="2" t="s">
        <v>15</v>
      </c>
      <c r="I189" s="2" t="s">
        <v>16</v>
      </c>
      <c r="J189">
        <f>Online_Sales_Data[[#This Row],[Units Sold]]*Online_Sales_Data[[#This Row],[Unit Price]]</f>
        <v>398</v>
      </c>
      <c r="K189" s="2">
        <f>MONTH(Online_Sales_Data[[#This Row],[Date]])</f>
        <v>7</v>
      </c>
      <c r="L189" s="2">
        <f>YEAR(Online_Sales_Data[[#This Row],[Date]])</f>
        <v>2024</v>
      </c>
      <c r="M189" s="2">
        <f t="shared" si="2"/>
        <v>7</v>
      </c>
    </row>
    <row r="190" spans="1:13" x14ac:dyDescent="0.25">
      <c r="A190">
        <v>10189</v>
      </c>
      <c r="B190" s="1">
        <v>45480</v>
      </c>
      <c r="C190" s="2" t="s">
        <v>17</v>
      </c>
      <c r="D190" s="2" t="s">
        <v>207</v>
      </c>
      <c r="E190">
        <v>4</v>
      </c>
      <c r="F190">
        <v>34.99</v>
      </c>
      <c r="G190">
        <v>139.96</v>
      </c>
      <c r="H190" s="2" t="s">
        <v>19</v>
      </c>
      <c r="I190" s="2" t="s">
        <v>20</v>
      </c>
      <c r="J190">
        <f>Online_Sales_Data[[#This Row],[Units Sold]]*Online_Sales_Data[[#This Row],[Unit Price]]</f>
        <v>139.96</v>
      </c>
      <c r="K190" s="2">
        <f>MONTH(Online_Sales_Data[[#This Row],[Date]])</f>
        <v>7</v>
      </c>
      <c r="L190" s="2">
        <f>YEAR(Online_Sales_Data[[#This Row],[Date]])</f>
        <v>2024</v>
      </c>
      <c r="M190" s="2">
        <f t="shared" si="2"/>
        <v>7</v>
      </c>
    </row>
    <row r="191" spans="1:13" x14ac:dyDescent="0.25">
      <c r="A191">
        <v>10190</v>
      </c>
      <c r="B191" s="1">
        <v>45481</v>
      </c>
      <c r="C191" s="2" t="s">
        <v>21</v>
      </c>
      <c r="D191" s="2" t="s">
        <v>108</v>
      </c>
      <c r="E191">
        <v>3</v>
      </c>
      <c r="F191">
        <v>10.99</v>
      </c>
      <c r="G191">
        <v>32.97</v>
      </c>
      <c r="H191" s="2" t="s">
        <v>11</v>
      </c>
      <c r="I191" s="2" t="s">
        <v>12</v>
      </c>
      <c r="J191">
        <f>Online_Sales_Data[[#This Row],[Units Sold]]*Online_Sales_Data[[#This Row],[Unit Price]]</f>
        <v>32.97</v>
      </c>
      <c r="K191" s="2">
        <f>MONTH(Online_Sales_Data[[#This Row],[Date]])</f>
        <v>7</v>
      </c>
      <c r="L191" s="2">
        <f>YEAR(Online_Sales_Data[[#This Row],[Date]])</f>
        <v>2024</v>
      </c>
      <c r="M191" s="2">
        <f t="shared" si="2"/>
        <v>7</v>
      </c>
    </row>
    <row r="192" spans="1:13" x14ac:dyDescent="0.25">
      <c r="A192">
        <v>10191</v>
      </c>
      <c r="B192" s="1">
        <v>45482</v>
      </c>
      <c r="C192" s="2" t="s">
        <v>23</v>
      </c>
      <c r="D192" s="2" t="s">
        <v>208</v>
      </c>
      <c r="E192">
        <v>1</v>
      </c>
      <c r="F192">
        <v>18</v>
      </c>
      <c r="G192">
        <v>18</v>
      </c>
      <c r="H192" s="2" t="s">
        <v>15</v>
      </c>
      <c r="I192" s="2" t="s">
        <v>16</v>
      </c>
      <c r="J192">
        <f>Online_Sales_Data[[#This Row],[Units Sold]]*Online_Sales_Data[[#This Row],[Unit Price]]</f>
        <v>18</v>
      </c>
      <c r="K192" s="2">
        <f>MONTH(Online_Sales_Data[[#This Row],[Date]])</f>
        <v>7</v>
      </c>
      <c r="L192" s="2">
        <f>YEAR(Online_Sales_Data[[#This Row],[Date]])</f>
        <v>2024</v>
      </c>
      <c r="M192" s="2">
        <f t="shared" si="2"/>
        <v>7</v>
      </c>
    </row>
    <row r="193" spans="1:13" x14ac:dyDescent="0.25">
      <c r="A193">
        <v>10192</v>
      </c>
      <c r="B193" s="1">
        <v>45483</v>
      </c>
      <c r="C193" s="2" t="s">
        <v>25</v>
      </c>
      <c r="D193" s="2" t="s">
        <v>209</v>
      </c>
      <c r="E193">
        <v>1</v>
      </c>
      <c r="F193">
        <v>169.95</v>
      </c>
      <c r="G193">
        <v>169.95</v>
      </c>
      <c r="H193" s="2" t="s">
        <v>19</v>
      </c>
      <c r="I193" s="2" t="s">
        <v>12</v>
      </c>
      <c r="J193">
        <f>Online_Sales_Data[[#This Row],[Units Sold]]*Online_Sales_Data[[#This Row],[Unit Price]]</f>
        <v>169.95</v>
      </c>
      <c r="K193" s="2">
        <f>MONTH(Online_Sales_Data[[#This Row],[Date]])</f>
        <v>7</v>
      </c>
      <c r="L193" s="2">
        <f>YEAR(Online_Sales_Data[[#This Row],[Date]])</f>
        <v>2024</v>
      </c>
      <c r="M193" s="2">
        <f t="shared" si="2"/>
        <v>7</v>
      </c>
    </row>
    <row r="194" spans="1:13" x14ac:dyDescent="0.25">
      <c r="A194">
        <v>10193</v>
      </c>
      <c r="B194" s="1">
        <v>45484</v>
      </c>
      <c r="C194" s="2" t="s">
        <v>9</v>
      </c>
      <c r="D194" s="2" t="s">
        <v>210</v>
      </c>
      <c r="E194">
        <v>1</v>
      </c>
      <c r="F194">
        <v>199.99</v>
      </c>
      <c r="G194">
        <v>199.99</v>
      </c>
      <c r="H194" s="2" t="s">
        <v>11</v>
      </c>
      <c r="I194" s="2" t="s">
        <v>12</v>
      </c>
      <c r="J194">
        <f>Online_Sales_Data[[#This Row],[Units Sold]]*Online_Sales_Data[[#This Row],[Unit Price]]</f>
        <v>199.99</v>
      </c>
      <c r="K194" s="2">
        <f>MONTH(Online_Sales_Data[[#This Row],[Date]])</f>
        <v>7</v>
      </c>
      <c r="L194" s="2">
        <f>YEAR(Online_Sales_Data[[#This Row],[Date]])</f>
        <v>2024</v>
      </c>
      <c r="M194" s="2">
        <f t="shared" ref="M194:M257" si="3">AVERAGE(K194:K196)</f>
        <v>7</v>
      </c>
    </row>
    <row r="195" spans="1:13" x14ac:dyDescent="0.25">
      <c r="A195">
        <v>10194</v>
      </c>
      <c r="B195" s="1">
        <v>45485</v>
      </c>
      <c r="C195" s="2" t="s">
        <v>13</v>
      </c>
      <c r="D195" s="2" t="s">
        <v>211</v>
      </c>
      <c r="E195">
        <v>1</v>
      </c>
      <c r="F195">
        <v>199.95</v>
      </c>
      <c r="G195">
        <v>199.95</v>
      </c>
      <c r="H195" s="2" t="s">
        <v>15</v>
      </c>
      <c r="I195" s="2" t="s">
        <v>16</v>
      </c>
      <c r="J195">
        <f>Online_Sales_Data[[#This Row],[Units Sold]]*Online_Sales_Data[[#This Row],[Unit Price]]</f>
        <v>199.95</v>
      </c>
      <c r="K195" s="2">
        <f>MONTH(Online_Sales_Data[[#This Row],[Date]])</f>
        <v>7</v>
      </c>
      <c r="L195" s="2">
        <f>YEAR(Online_Sales_Data[[#This Row],[Date]])</f>
        <v>2024</v>
      </c>
      <c r="M195" s="2">
        <f t="shared" si="3"/>
        <v>7</v>
      </c>
    </row>
    <row r="196" spans="1:13" x14ac:dyDescent="0.25">
      <c r="A196">
        <v>10195</v>
      </c>
      <c r="B196" s="1">
        <v>45486</v>
      </c>
      <c r="C196" s="2" t="s">
        <v>17</v>
      </c>
      <c r="D196" s="2" t="s">
        <v>212</v>
      </c>
      <c r="E196">
        <v>2</v>
      </c>
      <c r="F196">
        <v>179.99</v>
      </c>
      <c r="G196">
        <v>359.98</v>
      </c>
      <c r="H196" s="2" t="s">
        <v>19</v>
      </c>
      <c r="I196" s="2" t="s">
        <v>20</v>
      </c>
      <c r="J196">
        <f>Online_Sales_Data[[#This Row],[Units Sold]]*Online_Sales_Data[[#This Row],[Unit Price]]</f>
        <v>359.98</v>
      </c>
      <c r="K196" s="2">
        <f>MONTH(Online_Sales_Data[[#This Row],[Date]])</f>
        <v>7</v>
      </c>
      <c r="L196" s="2">
        <f>YEAR(Online_Sales_Data[[#This Row],[Date]])</f>
        <v>2024</v>
      </c>
      <c r="M196" s="2">
        <f t="shared" si="3"/>
        <v>7</v>
      </c>
    </row>
    <row r="197" spans="1:13" x14ac:dyDescent="0.25">
      <c r="A197">
        <v>10196</v>
      </c>
      <c r="B197" s="1">
        <v>45487</v>
      </c>
      <c r="C197" s="2" t="s">
        <v>21</v>
      </c>
      <c r="D197" s="2" t="s">
        <v>213</v>
      </c>
      <c r="E197">
        <v>2</v>
      </c>
      <c r="F197">
        <v>11.99</v>
      </c>
      <c r="G197">
        <v>23.98</v>
      </c>
      <c r="H197" s="2" t="s">
        <v>11</v>
      </c>
      <c r="I197" s="2" t="s">
        <v>12</v>
      </c>
      <c r="J197">
        <f>Online_Sales_Data[[#This Row],[Units Sold]]*Online_Sales_Data[[#This Row],[Unit Price]]</f>
        <v>23.98</v>
      </c>
      <c r="K197" s="2">
        <f>MONTH(Online_Sales_Data[[#This Row],[Date]])</f>
        <v>7</v>
      </c>
      <c r="L197" s="2">
        <f>YEAR(Online_Sales_Data[[#This Row],[Date]])</f>
        <v>2024</v>
      </c>
      <c r="M197" s="2">
        <f t="shared" si="3"/>
        <v>7</v>
      </c>
    </row>
    <row r="198" spans="1:13" x14ac:dyDescent="0.25">
      <c r="A198">
        <v>10197</v>
      </c>
      <c r="B198" s="1">
        <v>45488</v>
      </c>
      <c r="C198" s="2" t="s">
        <v>23</v>
      </c>
      <c r="D198" s="2" t="s">
        <v>214</v>
      </c>
      <c r="E198">
        <v>1</v>
      </c>
      <c r="F198">
        <v>125</v>
      </c>
      <c r="G198">
        <v>125</v>
      </c>
      <c r="H198" s="2" t="s">
        <v>15</v>
      </c>
      <c r="I198" s="2" t="s">
        <v>16</v>
      </c>
      <c r="J198">
        <f>Online_Sales_Data[[#This Row],[Units Sold]]*Online_Sales_Data[[#This Row],[Unit Price]]</f>
        <v>125</v>
      </c>
      <c r="K198" s="2">
        <f>MONTH(Online_Sales_Data[[#This Row],[Date]])</f>
        <v>7</v>
      </c>
      <c r="L198" s="2">
        <f>YEAR(Online_Sales_Data[[#This Row],[Date]])</f>
        <v>2024</v>
      </c>
      <c r="M198" s="2">
        <f t="shared" si="3"/>
        <v>7</v>
      </c>
    </row>
    <row r="199" spans="1:13" x14ac:dyDescent="0.25">
      <c r="A199">
        <v>10198</v>
      </c>
      <c r="B199" s="1">
        <v>45489</v>
      </c>
      <c r="C199" s="2" t="s">
        <v>25</v>
      </c>
      <c r="D199" s="2" t="s">
        <v>215</v>
      </c>
      <c r="E199">
        <v>1</v>
      </c>
      <c r="F199">
        <v>449.99</v>
      </c>
      <c r="G199">
        <v>449.99</v>
      </c>
      <c r="H199" s="2" t="s">
        <v>19</v>
      </c>
      <c r="I199" s="2" t="s">
        <v>12</v>
      </c>
      <c r="J199">
        <f>Online_Sales_Data[[#This Row],[Units Sold]]*Online_Sales_Data[[#This Row],[Unit Price]]</f>
        <v>449.99</v>
      </c>
      <c r="K199" s="2">
        <f>MONTH(Online_Sales_Data[[#This Row],[Date]])</f>
        <v>7</v>
      </c>
      <c r="L199" s="2">
        <f>YEAR(Online_Sales_Data[[#This Row],[Date]])</f>
        <v>2024</v>
      </c>
      <c r="M199" s="2">
        <f t="shared" si="3"/>
        <v>7</v>
      </c>
    </row>
    <row r="200" spans="1:13" x14ac:dyDescent="0.25">
      <c r="A200">
        <v>10199</v>
      </c>
      <c r="B200" s="1">
        <v>45490</v>
      </c>
      <c r="C200" s="2" t="s">
        <v>9</v>
      </c>
      <c r="D200" s="2" t="s">
        <v>216</v>
      </c>
      <c r="E200">
        <v>2</v>
      </c>
      <c r="F200">
        <v>179</v>
      </c>
      <c r="G200">
        <v>358</v>
      </c>
      <c r="H200" s="2" t="s">
        <v>11</v>
      </c>
      <c r="I200" s="2" t="s">
        <v>12</v>
      </c>
      <c r="J200">
        <f>Online_Sales_Data[[#This Row],[Units Sold]]*Online_Sales_Data[[#This Row],[Unit Price]]</f>
        <v>358</v>
      </c>
      <c r="K200" s="2">
        <f>MONTH(Online_Sales_Data[[#This Row],[Date]])</f>
        <v>7</v>
      </c>
      <c r="L200" s="2">
        <f>YEAR(Online_Sales_Data[[#This Row],[Date]])</f>
        <v>2024</v>
      </c>
      <c r="M200" s="2">
        <f t="shared" si="3"/>
        <v>7</v>
      </c>
    </row>
    <row r="201" spans="1:13" x14ac:dyDescent="0.25">
      <c r="A201">
        <v>10200</v>
      </c>
      <c r="B201" s="1">
        <v>45491</v>
      </c>
      <c r="C201" s="2" t="s">
        <v>13</v>
      </c>
      <c r="D201" s="2" t="s">
        <v>217</v>
      </c>
      <c r="E201">
        <v>1</v>
      </c>
      <c r="F201">
        <v>99.95</v>
      </c>
      <c r="G201">
        <v>99.95</v>
      </c>
      <c r="H201" s="2" t="s">
        <v>15</v>
      </c>
      <c r="I201" s="2" t="s">
        <v>16</v>
      </c>
      <c r="J201">
        <f>Online_Sales_Data[[#This Row],[Units Sold]]*Online_Sales_Data[[#This Row],[Unit Price]]</f>
        <v>99.95</v>
      </c>
      <c r="K201" s="2">
        <f>MONTH(Online_Sales_Data[[#This Row],[Date]])</f>
        <v>7</v>
      </c>
      <c r="L201" s="2">
        <f>YEAR(Online_Sales_Data[[#This Row],[Date]])</f>
        <v>2024</v>
      </c>
      <c r="M201" s="2">
        <f t="shared" si="3"/>
        <v>7</v>
      </c>
    </row>
    <row r="202" spans="1:13" x14ac:dyDescent="0.25">
      <c r="A202">
        <v>10201</v>
      </c>
      <c r="B202" s="1">
        <v>45492</v>
      </c>
      <c r="C202" s="2" t="s">
        <v>17</v>
      </c>
      <c r="D202" s="2" t="s">
        <v>218</v>
      </c>
      <c r="E202">
        <v>3</v>
      </c>
      <c r="F202">
        <v>59.99</v>
      </c>
      <c r="G202">
        <v>179.97</v>
      </c>
      <c r="H202" s="2" t="s">
        <v>19</v>
      </c>
      <c r="I202" s="2" t="s">
        <v>20</v>
      </c>
      <c r="J202">
        <f>Online_Sales_Data[[#This Row],[Units Sold]]*Online_Sales_Data[[#This Row],[Unit Price]]</f>
        <v>179.97</v>
      </c>
      <c r="K202" s="2">
        <f>MONTH(Online_Sales_Data[[#This Row],[Date]])</f>
        <v>7</v>
      </c>
      <c r="L202" s="2">
        <f>YEAR(Online_Sales_Data[[#This Row],[Date]])</f>
        <v>2024</v>
      </c>
      <c r="M202" s="2">
        <f t="shared" si="3"/>
        <v>7</v>
      </c>
    </row>
    <row r="203" spans="1:13" x14ac:dyDescent="0.25">
      <c r="A203">
        <v>10202</v>
      </c>
      <c r="B203" s="1">
        <v>45493</v>
      </c>
      <c r="C203" s="2" t="s">
        <v>21</v>
      </c>
      <c r="D203" s="2" t="s">
        <v>219</v>
      </c>
      <c r="E203">
        <v>2</v>
      </c>
      <c r="F203">
        <v>14.99</v>
      </c>
      <c r="G203">
        <v>29.98</v>
      </c>
      <c r="H203" s="2" t="s">
        <v>11</v>
      </c>
      <c r="I203" s="2" t="s">
        <v>12</v>
      </c>
      <c r="J203">
        <f>Online_Sales_Data[[#This Row],[Units Sold]]*Online_Sales_Data[[#This Row],[Unit Price]]</f>
        <v>29.98</v>
      </c>
      <c r="K203" s="2">
        <f>MONTH(Online_Sales_Data[[#This Row],[Date]])</f>
        <v>7</v>
      </c>
      <c r="L203" s="2">
        <f>YEAR(Online_Sales_Data[[#This Row],[Date]])</f>
        <v>2024</v>
      </c>
      <c r="M203" s="2">
        <f t="shared" si="3"/>
        <v>7</v>
      </c>
    </row>
    <row r="204" spans="1:13" x14ac:dyDescent="0.25">
      <c r="A204">
        <v>10203</v>
      </c>
      <c r="B204" s="1">
        <v>45494</v>
      </c>
      <c r="C204" s="2" t="s">
        <v>23</v>
      </c>
      <c r="D204" s="2" t="s">
        <v>220</v>
      </c>
      <c r="E204">
        <v>1</v>
      </c>
      <c r="F204">
        <v>52</v>
      </c>
      <c r="G204">
        <v>52</v>
      </c>
      <c r="H204" s="2" t="s">
        <v>15</v>
      </c>
      <c r="I204" s="2" t="s">
        <v>16</v>
      </c>
      <c r="J204">
        <f>Online_Sales_Data[[#This Row],[Units Sold]]*Online_Sales_Data[[#This Row],[Unit Price]]</f>
        <v>52</v>
      </c>
      <c r="K204" s="2">
        <f>MONTH(Online_Sales_Data[[#This Row],[Date]])</f>
        <v>7</v>
      </c>
      <c r="L204" s="2">
        <f>YEAR(Online_Sales_Data[[#This Row],[Date]])</f>
        <v>2024</v>
      </c>
      <c r="M204" s="2">
        <f t="shared" si="3"/>
        <v>7</v>
      </c>
    </row>
    <row r="205" spans="1:13" x14ac:dyDescent="0.25">
      <c r="A205">
        <v>10204</v>
      </c>
      <c r="B205" s="1">
        <v>45495</v>
      </c>
      <c r="C205" s="2" t="s">
        <v>25</v>
      </c>
      <c r="D205" s="2" t="s">
        <v>221</v>
      </c>
      <c r="E205">
        <v>1</v>
      </c>
      <c r="F205">
        <v>399.99</v>
      </c>
      <c r="G205">
        <v>399.99</v>
      </c>
      <c r="H205" s="2" t="s">
        <v>19</v>
      </c>
      <c r="I205" s="2" t="s">
        <v>12</v>
      </c>
      <c r="J205">
        <f>Online_Sales_Data[[#This Row],[Units Sold]]*Online_Sales_Data[[#This Row],[Unit Price]]</f>
        <v>399.99</v>
      </c>
      <c r="K205" s="2">
        <f>MONTH(Online_Sales_Data[[#This Row],[Date]])</f>
        <v>7</v>
      </c>
      <c r="L205" s="2">
        <f>YEAR(Online_Sales_Data[[#This Row],[Date]])</f>
        <v>2024</v>
      </c>
      <c r="M205" s="2">
        <f t="shared" si="3"/>
        <v>7</v>
      </c>
    </row>
    <row r="206" spans="1:13" x14ac:dyDescent="0.25">
      <c r="A206">
        <v>10205</v>
      </c>
      <c r="B206" s="1">
        <v>45496</v>
      </c>
      <c r="C206" s="2" t="s">
        <v>9</v>
      </c>
      <c r="D206" s="2" t="s">
        <v>222</v>
      </c>
      <c r="E206">
        <v>1</v>
      </c>
      <c r="F206">
        <v>299.99</v>
      </c>
      <c r="G206">
        <v>299.99</v>
      </c>
      <c r="H206" s="2" t="s">
        <v>11</v>
      </c>
      <c r="I206" s="2" t="s">
        <v>12</v>
      </c>
      <c r="J206">
        <f>Online_Sales_Data[[#This Row],[Units Sold]]*Online_Sales_Data[[#This Row],[Unit Price]]</f>
        <v>299.99</v>
      </c>
      <c r="K206" s="2">
        <f>MONTH(Online_Sales_Data[[#This Row],[Date]])</f>
        <v>7</v>
      </c>
      <c r="L206" s="2">
        <f>YEAR(Online_Sales_Data[[#This Row],[Date]])</f>
        <v>2024</v>
      </c>
      <c r="M206" s="2">
        <f t="shared" si="3"/>
        <v>7</v>
      </c>
    </row>
    <row r="207" spans="1:13" x14ac:dyDescent="0.25">
      <c r="A207">
        <v>10206</v>
      </c>
      <c r="B207" s="1">
        <v>45497</v>
      </c>
      <c r="C207" s="2" t="s">
        <v>13</v>
      </c>
      <c r="D207" s="2" t="s">
        <v>223</v>
      </c>
      <c r="E207">
        <v>1</v>
      </c>
      <c r="F207">
        <v>379.99</v>
      </c>
      <c r="G207">
        <v>379.99</v>
      </c>
      <c r="H207" s="2" t="s">
        <v>15</v>
      </c>
      <c r="I207" s="2" t="s">
        <v>16</v>
      </c>
      <c r="J207">
        <f>Online_Sales_Data[[#This Row],[Units Sold]]*Online_Sales_Data[[#This Row],[Unit Price]]</f>
        <v>379.99</v>
      </c>
      <c r="K207" s="2">
        <f>MONTH(Online_Sales_Data[[#This Row],[Date]])</f>
        <v>7</v>
      </c>
      <c r="L207" s="2">
        <f>YEAR(Online_Sales_Data[[#This Row],[Date]])</f>
        <v>2024</v>
      </c>
      <c r="M207" s="2">
        <f t="shared" si="3"/>
        <v>7</v>
      </c>
    </row>
    <row r="208" spans="1:13" x14ac:dyDescent="0.25">
      <c r="A208">
        <v>10207</v>
      </c>
      <c r="B208" s="1">
        <v>45498</v>
      </c>
      <c r="C208" s="2" t="s">
        <v>17</v>
      </c>
      <c r="D208" s="2" t="s">
        <v>224</v>
      </c>
      <c r="E208">
        <v>2</v>
      </c>
      <c r="F208">
        <v>98</v>
      </c>
      <c r="G208">
        <v>196</v>
      </c>
      <c r="H208" s="2" t="s">
        <v>19</v>
      </c>
      <c r="I208" s="2" t="s">
        <v>20</v>
      </c>
      <c r="J208">
        <f>Online_Sales_Data[[#This Row],[Units Sold]]*Online_Sales_Data[[#This Row],[Unit Price]]</f>
        <v>196</v>
      </c>
      <c r="K208" s="2">
        <f>MONTH(Online_Sales_Data[[#This Row],[Date]])</f>
        <v>7</v>
      </c>
      <c r="L208" s="2">
        <f>YEAR(Online_Sales_Data[[#This Row],[Date]])</f>
        <v>2024</v>
      </c>
      <c r="M208" s="2">
        <f t="shared" si="3"/>
        <v>7</v>
      </c>
    </row>
    <row r="209" spans="1:13" x14ac:dyDescent="0.25">
      <c r="A209">
        <v>10208</v>
      </c>
      <c r="B209" s="1">
        <v>45499</v>
      </c>
      <c r="C209" s="2" t="s">
        <v>21</v>
      </c>
      <c r="D209" s="2" t="s">
        <v>225</v>
      </c>
      <c r="E209">
        <v>3</v>
      </c>
      <c r="F209">
        <v>16.989999999999998</v>
      </c>
      <c r="G209">
        <v>50.97</v>
      </c>
      <c r="H209" s="2" t="s">
        <v>11</v>
      </c>
      <c r="I209" s="2" t="s">
        <v>12</v>
      </c>
      <c r="J209">
        <f>Online_Sales_Data[[#This Row],[Units Sold]]*Online_Sales_Data[[#This Row],[Unit Price]]</f>
        <v>50.97</v>
      </c>
      <c r="K209" s="2">
        <f>MONTH(Online_Sales_Data[[#This Row],[Date]])</f>
        <v>7</v>
      </c>
      <c r="L209" s="2">
        <f>YEAR(Online_Sales_Data[[#This Row],[Date]])</f>
        <v>2024</v>
      </c>
      <c r="M209" s="2">
        <f t="shared" si="3"/>
        <v>7</v>
      </c>
    </row>
    <row r="210" spans="1:13" x14ac:dyDescent="0.25">
      <c r="A210">
        <v>10209</v>
      </c>
      <c r="B210" s="1">
        <v>45500</v>
      </c>
      <c r="C210" s="2" t="s">
        <v>23</v>
      </c>
      <c r="D210" s="2" t="s">
        <v>226</v>
      </c>
      <c r="E210">
        <v>1</v>
      </c>
      <c r="F210">
        <v>79</v>
      </c>
      <c r="G210">
        <v>79</v>
      </c>
      <c r="H210" s="2" t="s">
        <v>15</v>
      </c>
      <c r="I210" s="2" t="s">
        <v>16</v>
      </c>
      <c r="J210">
        <f>Online_Sales_Data[[#This Row],[Units Sold]]*Online_Sales_Data[[#This Row],[Unit Price]]</f>
        <v>79</v>
      </c>
      <c r="K210" s="2">
        <f>MONTH(Online_Sales_Data[[#This Row],[Date]])</f>
        <v>7</v>
      </c>
      <c r="L210" s="2">
        <f>YEAR(Online_Sales_Data[[#This Row],[Date]])</f>
        <v>2024</v>
      </c>
      <c r="M210" s="2">
        <f t="shared" si="3"/>
        <v>7</v>
      </c>
    </row>
    <row r="211" spans="1:13" x14ac:dyDescent="0.25">
      <c r="A211">
        <v>10210</v>
      </c>
      <c r="B211" s="1">
        <v>45501</v>
      </c>
      <c r="C211" s="2" t="s">
        <v>25</v>
      </c>
      <c r="D211" s="2" t="s">
        <v>227</v>
      </c>
      <c r="E211">
        <v>1</v>
      </c>
      <c r="F211">
        <v>129</v>
      </c>
      <c r="G211">
        <v>129</v>
      </c>
      <c r="H211" s="2" t="s">
        <v>19</v>
      </c>
      <c r="I211" s="2" t="s">
        <v>12</v>
      </c>
      <c r="J211">
        <f>Online_Sales_Data[[#This Row],[Units Sold]]*Online_Sales_Data[[#This Row],[Unit Price]]</f>
        <v>129</v>
      </c>
      <c r="K211" s="2">
        <f>MONTH(Online_Sales_Data[[#This Row],[Date]])</f>
        <v>7</v>
      </c>
      <c r="L211" s="2">
        <f>YEAR(Online_Sales_Data[[#This Row],[Date]])</f>
        <v>2024</v>
      </c>
      <c r="M211" s="2">
        <f t="shared" si="3"/>
        <v>7</v>
      </c>
    </row>
    <row r="212" spans="1:13" x14ac:dyDescent="0.25">
      <c r="A212">
        <v>10211</v>
      </c>
      <c r="B212" s="1">
        <v>45502</v>
      </c>
      <c r="C212" s="2" t="s">
        <v>9</v>
      </c>
      <c r="D212" s="2" t="s">
        <v>228</v>
      </c>
      <c r="E212">
        <v>1</v>
      </c>
      <c r="F212">
        <v>749.99</v>
      </c>
      <c r="G212">
        <v>749.99</v>
      </c>
      <c r="H212" s="2" t="s">
        <v>11</v>
      </c>
      <c r="I212" s="2" t="s">
        <v>12</v>
      </c>
      <c r="J212">
        <f>Online_Sales_Data[[#This Row],[Units Sold]]*Online_Sales_Data[[#This Row],[Unit Price]]</f>
        <v>749.99</v>
      </c>
      <c r="K212" s="2">
        <f>MONTH(Online_Sales_Data[[#This Row],[Date]])</f>
        <v>7</v>
      </c>
      <c r="L212" s="2">
        <f>YEAR(Online_Sales_Data[[#This Row],[Date]])</f>
        <v>2024</v>
      </c>
      <c r="M212" s="2">
        <f t="shared" si="3"/>
        <v>7</v>
      </c>
    </row>
    <row r="213" spans="1:13" x14ac:dyDescent="0.25">
      <c r="A213">
        <v>10212</v>
      </c>
      <c r="B213" s="1">
        <v>45503</v>
      </c>
      <c r="C213" s="2" t="s">
        <v>13</v>
      </c>
      <c r="D213" s="2" t="s">
        <v>34</v>
      </c>
      <c r="E213">
        <v>2</v>
      </c>
      <c r="F213">
        <v>169.99</v>
      </c>
      <c r="G213">
        <v>339.98</v>
      </c>
      <c r="H213" s="2" t="s">
        <v>15</v>
      </c>
      <c r="I213" s="2" t="s">
        <v>16</v>
      </c>
      <c r="J213">
        <f>Online_Sales_Data[[#This Row],[Units Sold]]*Online_Sales_Data[[#This Row],[Unit Price]]</f>
        <v>339.98</v>
      </c>
      <c r="K213" s="2">
        <f>MONTH(Online_Sales_Data[[#This Row],[Date]])</f>
        <v>7</v>
      </c>
      <c r="L213" s="2">
        <f>YEAR(Online_Sales_Data[[#This Row],[Date]])</f>
        <v>2024</v>
      </c>
      <c r="M213" s="2">
        <f t="shared" si="3"/>
        <v>7.333333333333333</v>
      </c>
    </row>
    <row r="214" spans="1:13" x14ac:dyDescent="0.25">
      <c r="A214">
        <v>10213</v>
      </c>
      <c r="B214" s="1">
        <v>45504</v>
      </c>
      <c r="C214" s="2" t="s">
        <v>17</v>
      </c>
      <c r="D214" s="2" t="s">
        <v>229</v>
      </c>
      <c r="E214">
        <v>4</v>
      </c>
      <c r="F214">
        <v>9.9</v>
      </c>
      <c r="G214">
        <v>39.6</v>
      </c>
      <c r="H214" s="2" t="s">
        <v>19</v>
      </c>
      <c r="I214" s="2" t="s">
        <v>20</v>
      </c>
      <c r="J214">
        <f>Online_Sales_Data[[#This Row],[Units Sold]]*Online_Sales_Data[[#This Row],[Unit Price]]</f>
        <v>39.6</v>
      </c>
      <c r="K214" s="2">
        <f>MONTH(Online_Sales_Data[[#This Row],[Date]])</f>
        <v>7</v>
      </c>
      <c r="L214" s="2">
        <f>YEAR(Online_Sales_Data[[#This Row],[Date]])</f>
        <v>2024</v>
      </c>
      <c r="M214" s="2">
        <f t="shared" si="3"/>
        <v>7.666666666666667</v>
      </c>
    </row>
    <row r="215" spans="1:13" x14ac:dyDescent="0.25">
      <c r="A215">
        <v>10214</v>
      </c>
      <c r="B215" s="1">
        <v>45505</v>
      </c>
      <c r="C215" s="2" t="s">
        <v>21</v>
      </c>
      <c r="D215" s="2" t="s">
        <v>190</v>
      </c>
      <c r="E215">
        <v>3</v>
      </c>
      <c r="F215">
        <v>10.99</v>
      </c>
      <c r="G215">
        <v>32.97</v>
      </c>
      <c r="H215" s="2" t="s">
        <v>11</v>
      </c>
      <c r="I215" s="2" t="s">
        <v>12</v>
      </c>
      <c r="J215">
        <f>Online_Sales_Data[[#This Row],[Units Sold]]*Online_Sales_Data[[#This Row],[Unit Price]]</f>
        <v>32.97</v>
      </c>
      <c r="K215" s="2">
        <f>MONTH(Online_Sales_Data[[#This Row],[Date]])</f>
        <v>8</v>
      </c>
      <c r="L215" s="2">
        <f>YEAR(Online_Sales_Data[[#This Row],[Date]])</f>
        <v>2024</v>
      </c>
      <c r="M215" s="2">
        <f t="shared" si="3"/>
        <v>8</v>
      </c>
    </row>
    <row r="216" spans="1:13" x14ac:dyDescent="0.25">
      <c r="A216">
        <v>10215</v>
      </c>
      <c r="B216" s="1">
        <v>45506</v>
      </c>
      <c r="C216" s="2" t="s">
        <v>23</v>
      </c>
      <c r="D216" s="2" t="s">
        <v>230</v>
      </c>
      <c r="E216">
        <v>2</v>
      </c>
      <c r="F216">
        <v>29</v>
      </c>
      <c r="G216">
        <v>58</v>
      </c>
      <c r="H216" s="2" t="s">
        <v>15</v>
      </c>
      <c r="I216" s="2" t="s">
        <v>16</v>
      </c>
      <c r="J216">
        <f>Online_Sales_Data[[#This Row],[Units Sold]]*Online_Sales_Data[[#This Row],[Unit Price]]</f>
        <v>58</v>
      </c>
      <c r="K216" s="2">
        <f>MONTH(Online_Sales_Data[[#This Row],[Date]])</f>
        <v>8</v>
      </c>
      <c r="L216" s="2">
        <f>YEAR(Online_Sales_Data[[#This Row],[Date]])</f>
        <v>2024</v>
      </c>
      <c r="M216" s="2">
        <f t="shared" si="3"/>
        <v>8</v>
      </c>
    </row>
    <row r="217" spans="1:13" x14ac:dyDescent="0.25">
      <c r="A217">
        <v>10216</v>
      </c>
      <c r="B217" s="1">
        <v>45507</v>
      </c>
      <c r="C217" s="2" t="s">
        <v>25</v>
      </c>
      <c r="D217" s="2" t="s">
        <v>231</v>
      </c>
      <c r="E217">
        <v>1</v>
      </c>
      <c r="F217">
        <v>349.99</v>
      </c>
      <c r="G217">
        <v>349.99</v>
      </c>
      <c r="H217" s="2" t="s">
        <v>19</v>
      </c>
      <c r="I217" s="2" t="s">
        <v>12</v>
      </c>
      <c r="J217">
        <f>Online_Sales_Data[[#This Row],[Units Sold]]*Online_Sales_Data[[#This Row],[Unit Price]]</f>
        <v>349.99</v>
      </c>
      <c r="K217" s="2">
        <f>MONTH(Online_Sales_Data[[#This Row],[Date]])</f>
        <v>8</v>
      </c>
      <c r="L217" s="2">
        <f>YEAR(Online_Sales_Data[[#This Row],[Date]])</f>
        <v>2024</v>
      </c>
      <c r="M217" s="2">
        <f t="shared" si="3"/>
        <v>8</v>
      </c>
    </row>
    <row r="218" spans="1:13" x14ac:dyDescent="0.25">
      <c r="A218">
        <v>10217</v>
      </c>
      <c r="B218" s="1">
        <v>45508</v>
      </c>
      <c r="C218" s="2" t="s">
        <v>9</v>
      </c>
      <c r="D218" s="2" t="s">
        <v>232</v>
      </c>
      <c r="E218">
        <v>1</v>
      </c>
      <c r="F218">
        <v>2399</v>
      </c>
      <c r="G218">
        <v>2399</v>
      </c>
      <c r="H218" s="2" t="s">
        <v>11</v>
      </c>
      <c r="I218" s="2" t="s">
        <v>12</v>
      </c>
      <c r="J218">
        <f>Online_Sales_Data[[#This Row],[Units Sold]]*Online_Sales_Data[[#This Row],[Unit Price]]</f>
        <v>2399</v>
      </c>
      <c r="K218" s="2">
        <f>MONTH(Online_Sales_Data[[#This Row],[Date]])</f>
        <v>8</v>
      </c>
      <c r="L218" s="2">
        <f>YEAR(Online_Sales_Data[[#This Row],[Date]])</f>
        <v>2024</v>
      </c>
      <c r="M218" s="2">
        <f t="shared" si="3"/>
        <v>8</v>
      </c>
    </row>
    <row r="219" spans="1:13" x14ac:dyDescent="0.25">
      <c r="A219">
        <v>10218</v>
      </c>
      <c r="B219" s="1">
        <v>45509</v>
      </c>
      <c r="C219" s="2" t="s">
        <v>13</v>
      </c>
      <c r="D219" s="2" t="s">
        <v>233</v>
      </c>
      <c r="E219">
        <v>1</v>
      </c>
      <c r="F219">
        <v>449.99</v>
      </c>
      <c r="G219">
        <v>449.99</v>
      </c>
      <c r="H219" s="2" t="s">
        <v>15</v>
      </c>
      <c r="I219" s="2" t="s">
        <v>16</v>
      </c>
      <c r="J219">
        <f>Online_Sales_Data[[#This Row],[Units Sold]]*Online_Sales_Data[[#This Row],[Unit Price]]</f>
        <v>449.99</v>
      </c>
      <c r="K219" s="2">
        <f>MONTH(Online_Sales_Data[[#This Row],[Date]])</f>
        <v>8</v>
      </c>
      <c r="L219" s="2">
        <f>YEAR(Online_Sales_Data[[#This Row],[Date]])</f>
        <v>2024</v>
      </c>
      <c r="M219" s="2">
        <f t="shared" si="3"/>
        <v>8</v>
      </c>
    </row>
    <row r="220" spans="1:13" x14ac:dyDescent="0.25">
      <c r="A220">
        <v>10219</v>
      </c>
      <c r="B220" s="1">
        <v>45510</v>
      </c>
      <c r="C220" s="2" t="s">
        <v>17</v>
      </c>
      <c r="D220" s="2" t="s">
        <v>234</v>
      </c>
      <c r="E220">
        <v>3</v>
      </c>
      <c r="F220">
        <v>49.99</v>
      </c>
      <c r="G220">
        <v>149.97</v>
      </c>
      <c r="H220" s="2" t="s">
        <v>19</v>
      </c>
      <c r="I220" s="2" t="s">
        <v>20</v>
      </c>
      <c r="J220">
        <f>Online_Sales_Data[[#This Row],[Units Sold]]*Online_Sales_Data[[#This Row],[Unit Price]]</f>
        <v>149.97</v>
      </c>
      <c r="K220" s="2">
        <f>MONTH(Online_Sales_Data[[#This Row],[Date]])</f>
        <v>8</v>
      </c>
      <c r="L220" s="2">
        <f>YEAR(Online_Sales_Data[[#This Row],[Date]])</f>
        <v>2024</v>
      </c>
      <c r="M220" s="2">
        <f t="shared" si="3"/>
        <v>8</v>
      </c>
    </row>
    <row r="221" spans="1:13" x14ac:dyDescent="0.25">
      <c r="A221">
        <v>10220</v>
      </c>
      <c r="B221" s="1">
        <v>45511</v>
      </c>
      <c r="C221" s="2" t="s">
        <v>21</v>
      </c>
      <c r="D221" s="2" t="s">
        <v>235</v>
      </c>
      <c r="E221">
        <v>2</v>
      </c>
      <c r="F221">
        <v>12.99</v>
      </c>
      <c r="G221">
        <v>25.98</v>
      </c>
      <c r="H221" s="2" t="s">
        <v>11</v>
      </c>
      <c r="I221" s="2" t="s">
        <v>12</v>
      </c>
      <c r="J221">
        <f>Online_Sales_Data[[#This Row],[Units Sold]]*Online_Sales_Data[[#This Row],[Unit Price]]</f>
        <v>25.98</v>
      </c>
      <c r="K221" s="2">
        <f>MONTH(Online_Sales_Data[[#This Row],[Date]])</f>
        <v>8</v>
      </c>
      <c r="L221" s="2">
        <f>YEAR(Online_Sales_Data[[#This Row],[Date]])</f>
        <v>2024</v>
      </c>
      <c r="M221" s="2">
        <f t="shared" si="3"/>
        <v>8</v>
      </c>
    </row>
    <row r="222" spans="1:13" x14ac:dyDescent="0.25">
      <c r="A222">
        <v>10221</v>
      </c>
      <c r="B222" s="1">
        <v>45512</v>
      </c>
      <c r="C222" s="2" t="s">
        <v>23</v>
      </c>
      <c r="D222" s="2" t="s">
        <v>236</v>
      </c>
      <c r="E222">
        <v>1</v>
      </c>
      <c r="F222">
        <v>27</v>
      </c>
      <c r="G222">
        <v>27</v>
      </c>
      <c r="H222" s="2" t="s">
        <v>15</v>
      </c>
      <c r="I222" s="2" t="s">
        <v>16</v>
      </c>
      <c r="J222">
        <f>Online_Sales_Data[[#This Row],[Units Sold]]*Online_Sales_Data[[#This Row],[Unit Price]]</f>
        <v>27</v>
      </c>
      <c r="K222" s="2">
        <f>MONTH(Online_Sales_Data[[#This Row],[Date]])</f>
        <v>8</v>
      </c>
      <c r="L222" s="2">
        <f>YEAR(Online_Sales_Data[[#This Row],[Date]])</f>
        <v>2024</v>
      </c>
      <c r="M222" s="2">
        <f t="shared" si="3"/>
        <v>8</v>
      </c>
    </row>
    <row r="223" spans="1:13" x14ac:dyDescent="0.25">
      <c r="A223">
        <v>10222</v>
      </c>
      <c r="B223" s="1">
        <v>45513</v>
      </c>
      <c r="C223" s="2" t="s">
        <v>25</v>
      </c>
      <c r="D223" s="2" t="s">
        <v>39</v>
      </c>
      <c r="E223">
        <v>1</v>
      </c>
      <c r="F223">
        <v>599.99</v>
      </c>
      <c r="G223">
        <v>599.99</v>
      </c>
      <c r="H223" s="2" t="s">
        <v>19</v>
      </c>
      <c r="I223" s="2" t="s">
        <v>12</v>
      </c>
      <c r="J223">
        <f>Online_Sales_Data[[#This Row],[Units Sold]]*Online_Sales_Data[[#This Row],[Unit Price]]</f>
        <v>599.99</v>
      </c>
      <c r="K223" s="2">
        <f>MONTH(Online_Sales_Data[[#This Row],[Date]])</f>
        <v>8</v>
      </c>
      <c r="L223" s="2">
        <f>YEAR(Online_Sales_Data[[#This Row],[Date]])</f>
        <v>2024</v>
      </c>
      <c r="M223" s="2">
        <f t="shared" si="3"/>
        <v>8</v>
      </c>
    </row>
    <row r="224" spans="1:13" x14ac:dyDescent="0.25">
      <c r="A224">
        <v>10223</v>
      </c>
      <c r="B224" s="1">
        <v>45514</v>
      </c>
      <c r="C224" s="2" t="s">
        <v>9</v>
      </c>
      <c r="D224" s="2" t="s">
        <v>237</v>
      </c>
      <c r="E224">
        <v>4</v>
      </c>
      <c r="F224">
        <v>49.99</v>
      </c>
      <c r="G224">
        <v>199.96</v>
      </c>
      <c r="H224" s="2" t="s">
        <v>11</v>
      </c>
      <c r="I224" s="2" t="s">
        <v>12</v>
      </c>
      <c r="J224">
        <f>Online_Sales_Data[[#This Row],[Units Sold]]*Online_Sales_Data[[#This Row],[Unit Price]]</f>
        <v>199.96</v>
      </c>
      <c r="K224" s="2">
        <f>MONTH(Online_Sales_Data[[#This Row],[Date]])</f>
        <v>8</v>
      </c>
      <c r="L224" s="2">
        <f>YEAR(Online_Sales_Data[[#This Row],[Date]])</f>
        <v>2024</v>
      </c>
      <c r="M224" s="2">
        <f t="shared" si="3"/>
        <v>8</v>
      </c>
    </row>
    <row r="225" spans="1:13" x14ac:dyDescent="0.25">
      <c r="A225">
        <v>10224</v>
      </c>
      <c r="B225" s="1">
        <v>45515</v>
      </c>
      <c r="C225" s="2" t="s">
        <v>13</v>
      </c>
      <c r="D225" s="2" t="s">
        <v>238</v>
      </c>
      <c r="E225">
        <v>2</v>
      </c>
      <c r="F225">
        <v>229.99</v>
      </c>
      <c r="G225">
        <v>459.98</v>
      </c>
      <c r="H225" s="2" t="s">
        <v>15</v>
      </c>
      <c r="I225" s="2" t="s">
        <v>16</v>
      </c>
      <c r="J225">
        <f>Online_Sales_Data[[#This Row],[Units Sold]]*Online_Sales_Data[[#This Row],[Unit Price]]</f>
        <v>459.98</v>
      </c>
      <c r="K225" s="2">
        <f>MONTH(Online_Sales_Data[[#This Row],[Date]])</f>
        <v>8</v>
      </c>
      <c r="L225" s="2">
        <f>YEAR(Online_Sales_Data[[#This Row],[Date]])</f>
        <v>2024</v>
      </c>
      <c r="M225" s="2">
        <f t="shared" si="3"/>
        <v>8</v>
      </c>
    </row>
    <row r="226" spans="1:13" x14ac:dyDescent="0.25">
      <c r="A226">
        <v>10225</v>
      </c>
      <c r="B226" s="1">
        <v>45516</v>
      </c>
      <c r="C226" s="2" t="s">
        <v>17</v>
      </c>
      <c r="D226" s="2" t="s">
        <v>239</v>
      </c>
      <c r="E226">
        <v>2</v>
      </c>
      <c r="F226">
        <v>44.99</v>
      </c>
      <c r="G226">
        <v>89.98</v>
      </c>
      <c r="H226" s="2" t="s">
        <v>19</v>
      </c>
      <c r="I226" s="2" t="s">
        <v>20</v>
      </c>
      <c r="J226">
        <f>Online_Sales_Data[[#This Row],[Units Sold]]*Online_Sales_Data[[#This Row],[Unit Price]]</f>
        <v>89.98</v>
      </c>
      <c r="K226" s="2">
        <f>MONTH(Online_Sales_Data[[#This Row],[Date]])</f>
        <v>8</v>
      </c>
      <c r="L226" s="2">
        <f>YEAR(Online_Sales_Data[[#This Row],[Date]])</f>
        <v>2024</v>
      </c>
      <c r="M226" s="2">
        <f t="shared" si="3"/>
        <v>8</v>
      </c>
    </row>
    <row r="227" spans="1:13" x14ac:dyDescent="0.25">
      <c r="A227">
        <v>10226</v>
      </c>
      <c r="B227" s="1">
        <v>45517</v>
      </c>
      <c r="C227" s="2" t="s">
        <v>21</v>
      </c>
      <c r="D227" s="2" t="s">
        <v>72</v>
      </c>
      <c r="E227">
        <v>3</v>
      </c>
      <c r="F227">
        <v>26.99</v>
      </c>
      <c r="G227">
        <v>80.97</v>
      </c>
      <c r="H227" s="2" t="s">
        <v>11</v>
      </c>
      <c r="I227" s="2" t="s">
        <v>12</v>
      </c>
      <c r="J227">
        <f>Online_Sales_Data[[#This Row],[Units Sold]]*Online_Sales_Data[[#This Row],[Unit Price]]</f>
        <v>80.97</v>
      </c>
      <c r="K227" s="2">
        <f>MONTH(Online_Sales_Data[[#This Row],[Date]])</f>
        <v>8</v>
      </c>
      <c r="L227" s="2">
        <f>YEAR(Online_Sales_Data[[#This Row],[Date]])</f>
        <v>2024</v>
      </c>
      <c r="M227" s="2">
        <f t="shared" si="3"/>
        <v>8</v>
      </c>
    </row>
    <row r="228" spans="1:13" x14ac:dyDescent="0.25">
      <c r="A228">
        <v>10227</v>
      </c>
      <c r="B228" s="1">
        <v>45518</v>
      </c>
      <c r="C228" s="2" t="s">
        <v>23</v>
      </c>
      <c r="D228" s="2" t="s">
        <v>240</v>
      </c>
      <c r="E228">
        <v>1</v>
      </c>
      <c r="F228">
        <v>6.7</v>
      </c>
      <c r="G228">
        <v>6.7</v>
      </c>
      <c r="H228" s="2" t="s">
        <v>15</v>
      </c>
      <c r="I228" s="2" t="s">
        <v>16</v>
      </c>
      <c r="J228">
        <f>Online_Sales_Data[[#This Row],[Units Sold]]*Online_Sales_Data[[#This Row],[Unit Price]]</f>
        <v>6.7</v>
      </c>
      <c r="K228" s="2">
        <f>MONTH(Online_Sales_Data[[#This Row],[Date]])</f>
        <v>8</v>
      </c>
      <c r="L228" s="2">
        <f>YEAR(Online_Sales_Data[[#This Row],[Date]])</f>
        <v>2024</v>
      </c>
      <c r="M228" s="2">
        <f t="shared" si="3"/>
        <v>8</v>
      </c>
    </row>
    <row r="229" spans="1:13" x14ac:dyDescent="0.25">
      <c r="A229">
        <v>10228</v>
      </c>
      <c r="B229" s="1">
        <v>45519</v>
      </c>
      <c r="C229" s="2" t="s">
        <v>25</v>
      </c>
      <c r="D229" s="2" t="s">
        <v>241</v>
      </c>
      <c r="E229">
        <v>2</v>
      </c>
      <c r="F229">
        <v>149.94999999999999</v>
      </c>
      <c r="G229">
        <v>299.89999999999998</v>
      </c>
      <c r="H229" s="2" t="s">
        <v>19</v>
      </c>
      <c r="I229" s="2" t="s">
        <v>12</v>
      </c>
      <c r="J229">
        <f>Online_Sales_Data[[#This Row],[Units Sold]]*Online_Sales_Data[[#This Row],[Unit Price]]</f>
        <v>299.89999999999998</v>
      </c>
      <c r="K229" s="2">
        <f>MONTH(Online_Sales_Data[[#This Row],[Date]])</f>
        <v>8</v>
      </c>
      <c r="L229" s="2">
        <f>YEAR(Online_Sales_Data[[#This Row],[Date]])</f>
        <v>2024</v>
      </c>
      <c r="M229" s="2">
        <f t="shared" si="3"/>
        <v>8</v>
      </c>
    </row>
    <row r="230" spans="1:13" x14ac:dyDescent="0.25">
      <c r="A230">
        <v>10229</v>
      </c>
      <c r="B230" s="1">
        <v>45520</v>
      </c>
      <c r="C230" s="2" t="s">
        <v>9</v>
      </c>
      <c r="D230" s="2" t="s">
        <v>242</v>
      </c>
      <c r="E230">
        <v>1</v>
      </c>
      <c r="F230">
        <v>169</v>
      </c>
      <c r="G230">
        <v>169</v>
      </c>
      <c r="H230" s="2" t="s">
        <v>11</v>
      </c>
      <c r="I230" s="2" t="s">
        <v>12</v>
      </c>
      <c r="J230">
        <f>Online_Sales_Data[[#This Row],[Units Sold]]*Online_Sales_Data[[#This Row],[Unit Price]]</f>
        <v>169</v>
      </c>
      <c r="K230" s="2">
        <f>MONTH(Online_Sales_Data[[#This Row],[Date]])</f>
        <v>8</v>
      </c>
      <c r="L230" s="2">
        <f>YEAR(Online_Sales_Data[[#This Row],[Date]])</f>
        <v>2024</v>
      </c>
      <c r="M230" s="2">
        <f t="shared" si="3"/>
        <v>8</v>
      </c>
    </row>
    <row r="231" spans="1:13" x14ac:dyDescent="0.25">
      <c r="A231">
        <v>10230</v>
      </c>
      <c r="B231" s="1">
        <v>45521</v>
      </c>
      <c r="C231" s="2" t="s">
        <v>13</v>
      </c>
      <c r="D231" s="2" t="s">
        <v>243</v>
      </c>
      <c r="E231">
        <v>1</v>
      </c>
      <c r="F231">
        <v>599</v>
      </c>
      <c r="G231">
        <v>599</v>
      </c>
      <c r="H231" s="2" t="s">
        <v>15</v>
      </c>
      <c r="I231" s="2" t="s">
        <v>16</v>
      </c>
      <c r="J231">
        <f>Online_Sales_Data[[#This Row],[Units Sold]]*Online_Sales_Data[[#This Row],[Unit Price]]</f>
        <v>599</v>
      </c>
      <c r="K231" s="2">
        <f>MONTH(Online_Sales_Data[[#This Row],[Date]])</f>
        <v>8</v>
      </c>
      <c r="L231" s="2">
        <f>YEAR(Online_Sales_Data[[#This Row],[Date]])</f>
        <v>2024</v>
      </c>
      <c r="M231" s="2">
        <f t="shared" si="3"/>
        <v>8</v>
      </c>
    </row>
    <row r="232" spans="1:13" x14ac:dyDescent="0.25">
      <c r="A232">
        <v>10231</v>
      </c>
      <c r="B232" s="1">
        <v>45522</v>
      </c>
      <c r="C232" s="2" t="s">
        <v>17</v>
      </c>
      <c r="D232" s="2" t="s">
        <v>244</v>
      </c>
      <c r="E232">
        <v>4</v>
      </c>
      <c r="F232">
        <v>64.989999999999995</v>
      </c>
      <c r="G232">
        <v>259.95999999999998</v>
      </c>
      <c r="H232" s="2" t="s">
        <v>19</v>
      </c>
      <c r="I232" s="2" t="s">
        <v>20</v>
      </c>
      <c r="J232">
        <f>Online_Sales_Data[[#This Row],[Units Sold]]*Online_Sales_Data[[#This Row],[Unit Price]]</f>
        <v>259.95999999999998</v>
      </c>
      <c r="K232" s="2">
        <f>MONTH(Online_Sales_Data[[#This Row],[Date]])</f>
        <v>8</v>
      </c>
      <c r="L232" s="2">
        <f>YEAR(Online_Sales_Data[[#This Row],[Date]])</f>
        <v>2024</v>
      </c>
      <c r="M232" s="2">
        <f t="shared" si="3"/>
        <v>8</v>
      </c>
    </row>
    <row r="233" spans="1:13" x14ac:dyDescent="0.25">
      <c r="A233">
        <v>10232</v>
      </c>
      <c r="B233" s="1">
        <v>45523</v>
      </c>
      <c r="C233" s="2" t="s">
        <v>21</v>
      </c>
      <c r="D233" s="2" t="s">
        <v>30</v>
      </c>
      <c r="E233">
        <v>2</v>
      </c>
      <c r="F233">
        <v>9.99</v>
      </c>
      <c r="G233">
        <v>19.98</v>
      </c>
      <c r="H233" s="2" t="s">
        <v>11</v>
      </c>
      <c r="I233" s="2" t="s">
        <v>12</v>
      </c>
      <c r="J233">
        <f>Online_Sales_Data[[#This Row],[Units Sold]]*Online_Sales_Data[[#This Row],[Unit Price]]</f>
        <v>19.98</v>
      </c>
      <c r="K233" s="2">
        <f>MONTH(Online_Sales_Data[[#This Row],[Date]])</f>
        <v>8</v>
      </c>
      <c r="L233" s="2">
        <f>YEAR(Online_Sales_Data[[#This Row],[Date]])</f>
        <v>2024</v>
      </c>
      <c r="M233" s="2">
        <f t="shared" si="3"/>
        <v>8</v>
      </c>
    </row>
    <row r="234" spans="1:13" x14ac:dyDescent="0.25">
      <c r="A234">
        <v>10233</v>
      </c>
      <c r="B234" s="1">
        <v>45524</v>
      </c>
      <c r="C234" s="2" t="s">
        <v>23</v>
      </c>
      <c r="D234" s="2" t="s">
        <v>245</v>
      </c>
      <c r="E234">
        <v>1</v>
      </c>
      <c r="F234">
        <v>24</v>
      </c>
      <c r="G234">
        <v>24</v>
      </c>
      <c r="H234" s="2" t="s">
        <v>15</v>
      </c>
      <c r="I234" s="2" t="s">
        <v>16</v>
      </c>
      <c r="J234">
        <f>Online_Sales_Data[[#This Row],[Units Sold]]*Online_Sales_Data[[#This Row],[Unit Price]]</f>
        <v>24</v>
      </c>
      <c r="K234" s="2">
        <f>MONTH(Online_Sales_Data[[#This Row],[Date]])</f>
        <v>8</v>
      </c>
      <c r="L234" s="2">
        <f>YEAR(Online_Sales_Data[[#This Row],[Date]])</f>
        <v>2024</v>
      </c>
      <c r="M234" s="2">
        <f t="shared" si="3"/>
        <v>8</v>
      </c>
    </row>
    <row r="235" spans="1:13" x14ac:dyDescent="0.25">
      <c r="A235">
        <v>10234</v>
      </c>
      <c r="B235" s="1">
        <v>45525</v>
      </c>
      <c r="C235" s="2" t="s">
        <v>25</v>
      </c>
      <c r="D235" s="2" t="s">
        <v>246</v>
      </c>
      <c r="E235">
        <v>3</v>
      </c>
      <c r="F235">
        <v>32.950000000000003</v>
      </c>
      <c r="G235">
        <v>98.85</v>
      </c>
      <c r="H235" s="2" t="s">
        <v>19</v>
      </c>
      <c r="I235" s="2" t="s">
        <v>12</v>
      </c>
      <c r="J235">
        <f>Online_Sales_Data[[#This Row],[Units Sold]]*Online_Sales_Data[[#This Row],[Unit Price]]</f>
        <v>98.850000000000009</v>
      </c>
      <c r="K235" s="2">
        <f>MONTH(Online_Sales_Data[[#This Row],[Date]])</f>
        <v>8</v>
      </c>
      <c r="L235" s="2">
        <f>YEAR(Online_Sales_Data[[#This Row],[Date]])</f>
        <v>2024</v>
      </c>
      <c r="M235" s="2">
        <f t="shared" si="3"/>
        <v>8</v>
      </c>
    </row>
    <row r="236" spans="1:13" x14ac:dyDescent="0.25">
      <c r="A236">
        <v>10235</v>
      </c>
      <c r="B236" s="1">
        <v>45526</v>
      </c>
      <c r="C236" s="2" t="s">
        <v>9</v>
      </c>
      <c r="D236" s="2" t="s">
        <v>247</v>
      </c>
      <c r="E236">
        <v>1</v>
      </c>
      <c r="F236">
        <v>299</v>
      </c>
      <c r="G236">
        <v>299</v>
      </c>
      <c r="H236" s="2" t="s">
        <v>11</v>
      </c>
      <c r="I236" s="2" t="s">
        <v>12</v>
      </c>
      <c r="J236">
        <f>Online_Sales_Data[[#This Row],[Units Sold]]*Online_Sales_Data[[#This Row],[Unit Price]]</f>
        <v>299</v>
      </c>
      <c r="K236" s="2">
        <f>MONTH(Online_Sales_Data[[#This Row],[Date]])</f>
        <v>8</v>
      </c>
      <c r="L236" s="2">
        <f>YEAR(Online_Sales_Data[[#This Row],[Date]])</f>
        <v>2024</v>
      </c>
      <c r="M236" s="2">
        <f t="shared" si="3"/>
        <v>8</v>
      </c>
    </row>
    <row r="237" spans="1:13" x14ac:dyDescent="0.25">
      <c r="A237">
        <v>10236</v>
      </c>
      <c r="B237" s="1">
        <v>45527</v>
      </c>
      <c r="C237" s="2" t="s">
        <v>13</v>
      </c>
      <c r="D237" s="2" t="s">
        <v>248</v>
      </c>
      <c r="E237">
        <v>1</v>
      </c>
      <c r="F237">
        <v>159.99</v>
      </c>
      <c r="G237">
        <v>159.99</v>
      </c>
      <c r="H237" s="2" t="s">
        <v>15</v>
      </c>
      <c r="I237" s="2" t="s">
        <v>16</v>
      </c>
      <c r="J237">
        <f>Online_Sales_Data[[#This Row],[Units Sold]]*Online_Sales_Data[[#This Row],[Unit Price]]</f>
        <v>159.99</v>
      </c>
      <c r="K237" s="2">
        <f>MONTH(Online_Sales_Data[[#This Row],[Date]])</f>
        <v>8</v>
      </c>
      <c r="L237" s="2">
        <f>YEAR(Online_Sales_Data[[#This Row],[Date]])</f>
        <v>2024</v>
      </c>
      <c r="M237" s="2">
        <f t="shared" si="3"/>
        <v>8</v>
      </c>
    </row>
    <row r="238" spans="1:13" x14ac:dyDescent="0.25">
      <c r="A238">
        <v>10237</v>
      </c>
      <c r="B238" s="1">
        <v>45528</v>
      </c>
      <c r="C238" s="2" t="s">
        <v>17</v>
      </c>
      <c r="D238" s="2" t="s">
        <v>249</v>
      </c>
      <c r="E238">
        <v>3</v>
      </c>
      <c r="F238">
        <v>90</v>
      </c>
      <c r="G238">
        <v>270</v>
      </c>
      <c r="H238" s="2" t="s">
        <v>19</v>
      </c>
      <c r="I238" s="2" t="s">
        <v>20</v>
      </c>
      <c r="J238">
        <f>Online_Sales_Data[[#This Row],[Units Sold]]*Online_Sales_Data[[#This Row],[Unit Price]]</f>
        <v>270</v>
      </c>
      <c r="K238" s="2">
        <f>MONTH(Online_Sales_Data[[#This Row],[Date]])</f>
        <v>8</v>
      </c>
      <c r="L238" s="2">
        <f>YEAR(Online_Sales_Data[[#This Row],[Date]])</f>
        <v>2024</v>
      </c>
      <c r="M238" s="2">
        <f t="shared" si="3"/>
        <v>8</v>
      </c>
    </row>
    <row r="239" spans="1:13" x14ac:dyDescent="0.25">
      <c r="A239">
        <v>10238</v>
      </c>
      <c r="B239" s="1">
        <v>45529</v>
      </c>
      <c r="C239" s="2" t="s">
        <v>21</v>
      </c>
      <c r="D239" s="2" t="s">
        <v>250</v>
      </c>
      <c r="E239">
        <v>3</v>
      </c>
      <c r="F239">
        <v>10.99</v>
      </c>
      <c r="G239">
        <v>32.97</v>
      </c>
      <c r="H239" s="2" t="s">
        <v>11</v>
      </c>
      <c r="I239" s="2" t="s">
        <v>12</v>
      </c>
      <c r="J239">
        <f>Online_Sales_Data[[#This Row],[Units Sold]]*Online_Sales_Data[[#This Row],[Unit Price]]</f>
        <v>32.97</v>
      </c>
      <c r="K239" s="2">
        <f>MONTH(Online_Sales_Data[[#This Row],[Date]])</f>
        <v>8</v>
      </c>
      <c r="L239" s="2">
        <f>YEAR(Online_Sales_Data[[#This Row],[Date]])</f>
        <v>2024</v>
      </c>
      <c r="M239" s="2">
        <f t="shared" si="3"/>
        <v>8</v>
      </c>
    </row>
    <row r="240" spans="1:13" x14ac:dyDescent="0.25">
      <c r="A240">
        <v>10239</v>
      </c>
      <c r="B240" s="1">
        <v>45530</v>
      </c>
      <c r="C240" s="2" t="s">
        <v>23</v>
      </c>
      <c r="D240" s="2" t="s">
        <v>251</v>
      </c>
      <c r="E240">
        <v>1</v>
      </c>
      <c r="F240">
        <v>55</v>
      </c>
      <c r="G240">
        <v>55</v>
      </c>
      <c r="H240" s="2" t="s">
        <v>15</v>
      </c>
      <c r="I240" s="2" t="s">
        <v>16</v>
      </c>
      <c r="J240">
        <f>Online_Sales_Data[[#This Row],[Units Sold]]*Online_Sales_Data[[#This Row],[Unit Price]]</f>
        <v>55</v>
      </c>
      <c r="K240" s="2">
        <f>MONTH(Online_Sales_Data[[#This Row],[Date]])</f>
        <v>8</v>
      </c>
      <c r="L240" s="2">
        <f>YEAR(Online_Sales_Data[[#This Row],[Date]])</f>
        <v>2024</v>
      </c>
      <c r="M240" s="2">
        <f t="shared" si="3"/>
        <v>8.3333333333333339</v>
      </c>
    </row>
    <row r="241" spans="1:13" x14ac:dyDescent="0.25">
      <c r="A241">
        <v>10240</v>
      </c>
      <c r="B241" s="1">
        <v>45531</v>
      </c>
      <c r="C241" s="2" t="s">
        <v>25</v>
      </c>
      <c r="D241" s="2" t="s">
        <v>252</v>
      </c>
      <c r="E241">
        <v>2</v>
      </c>
      <c r="F241">
        <v>29.99</v>
      </c>
      <c r="G241">
        <v>59.98</v>
      </c>
      <c r="H241" s="2" t="s">
        <v>19</v>
      </c>
      <c r="I241" s="2" t="s">
        <v>12</v>
      </c>
      <c r="J241">
        <f>Online_Sales_Data[[#This Row],[Units Sold]]*Online_Sales_Data[[#This Row],[Unit Price]]</f>
        <v>59.98</v>
      </c>
      <c r="K241" s="2">
        <f>MONTH(Online_Sales_Data[[#This Row],[Date]])</f>
        <v>8</v>
      </c>
      <c r="L241" s="2">
        <f>YEAR(Online_Sales_Data[[#This Row],[Date]])</f>
        <v>2024</v>
      </c>
      <c r="M241" s="2">
        <f t="shared" si="3"/>
        <v>9</v>
      </c>
    </row>
    <row r="242" spans="1:13" x14ac:dyDescent="0.25">
      <c r="B242" s="1"/>
      <c r="C242" s="2"/>
      <c r="D242" s="2"/>
      <c r="H242" s="2"/>
      <c r="I242" s="2"/>
      <c r="J242" s="6" cm="1">
        <f t="array" ref="J242">TREND(J2:J241,K2:K241,K242)</f>
        <v>180.46886741633602</v>
      </c>
      <c r="K242" s="6">
        <v>9</v>
      </c>
      <c r="L242" s="2">
        <f>YEAR(Online_Sales_Data[[#This Row],[Date]])</f>
        <v>1900</v>
      </c>
      <c r="M242" s="2">
        <f>AVERAGE(K242:K244)</f>
        <v>10</v>
      </c>
    </row>
    <row r="243" spans="1:13" x14ac:dyDescent="0.25">
      <c r="B243" s="1"/>
      <c r="C243" s="2"/>
      <c r="D243" s="2"/>
      <c r="H243" s="2"/>
      <c r="I243" s="2"/>
      <c r="J243" s="6" cm="1">
        <f t="array" ref="J243">TREND(J3:J242,K3:K242,K243)</f>
        <v>163.71326568908808</v>
      </c>
      <c r="K243" s="6">
        <v>10</v>
      </c>
      <c r="L243" s="2">
        <f>YEAR(Online_Sales_Data[[#This Row],[Date]])</f>
        <v>1900</v>
      </c>
      <c r="M243" s="2">
        <f>AVERAGE(K243:K245)</f>
        <v>11</v>
      </c>
    </row>
    <row r="244" spans="1:13" x14ac:dyDescent="0.25">
      <c r="B244" s="1"/>
      <c r="C244" s="2"/>
      <c r="D244" s="2"/>
      <c r="H244" s="2"/>
      <c r="I244" s="2"/>
      <c r="J244" s="6" cm="1">
        <f t="array" ref="J244">TREND(J4:J243,K4:K243,K244)</f>
        <v>134.80736322787948</v>
      </c>
      <c r="K244" s="6">
        <v>11</v>
      </c>
      <c r="L244" s="2">
        <f>YEAR(Online_Sales_Data[[#This Row],[Date]])</f>
        <v>1900</v>
      </c>
      <c r="M244" s="2">
        <f>AVERAGE(K244:K246)</f>
        <v>11.5</v>
      </c>
    </row>
    <row r="245" spans="1:13" x14ac:dyDescent="0.25">
      <c r="B245" s="1"/>
      <c r="C245" s="2"/>
      <c r="D245" s="2"/>
      <c r="H245" s="2"/>
      <c r="I245" s="2"/>
      <c r="J245" s="6" cm="1">
        <f t="array" ref="J245">TREND(J5:J244,K5:K244,K245)</f>
        <v>101.52886019414427</v>
      </c>
      <c r="K245" s="6">
        <v>12</v>
      </c>
      <c r="L245" s="2">
        <f>YEAR(Online_Sales_Data[[#This Row],[Date]])</f>
        <v>1900</v>
      </c>
      <c r="M245" s="2">
        <f>AVERAGE(K245:K247)</f>
        <v>12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F2135-B2EC-450B-A08B-2331C7CE5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Online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Ayana Khan</dc:creator>
  <cp:lastModifiedBy>Ayana Khan</cp:lastModifiedBy>
  <dcterms:created xsi:type="dcterms:W3CDTF">2026-05-01T06:44:04Z</dcterms:created>
  <dcterms:modified xsi:type="dcterms:W3CDTF">2026-05-01T10:23:51Z</dcterms:modified>
</cp:coreProperties>
</file>